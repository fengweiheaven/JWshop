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Sheet1!$A$1:$Y$2636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<sst xmlns="http://schemas.openxmlformats.org/spreadsheetml/2006/main" count="4655" uniqueCount="127">
  <si>
    <t>日期</t>
  </si>
  <si>
    <t>商品名称</t>
  </si>
  <si>
    <t>规格</t>
  </si>
  <si>
    <t>重量</t>
  </si>
  <si>
    <t>方</t>
  </si>
  <si>
    <t>入库总数</t>
  </si>
  <si>
    <t>二次入库</t>
  </si>
  <si>
    <t>破损总数</t>
  </si>
  <si>
    <t>来货破损</t>
  </si>
  <si>
    <t>商家出库</t>
  </si>
  <si>
    <t>二次补货</t>
  </si>
  <si>
    <t>夜补</t>
  </si>
  <si>
    <t>客退</t>
  </si>
  <si>
    <t>客退破损</t>
  </si>
  <si>
    <t>多货实退</t>
  </si>
  <si>
    <t>调货出库</t>
  </si>
  <si>
    <t>破损出库</t>
  </si>
  <si>
    <t>正转残</t>
  </si>
  <si>
    <t>剩余库存</t>
  </si>
  <si>
    <t>破损库存</t>
  </si>
  <si>
    <t>备注</t>
  </si>
  <si>
    <t>送货费</t>
  </si>
  <si>
    <t>仓储费</t>
  </si>
  <si>
    <t>送货总数</t>
  </si>
  <si>
    <t>服务费</t>
  </si>
  <si>
    <t>开亿柠檬苏打水</t>
  </si>
  <si>
    <t>1*24</t>
  </si>
  <si>
    <t>开亿柠檬苏打水/瓶</t>
  </si>
  <si>
    <t>平掌柜茉莉苏打水</t>
  </si>
  <si>
    <t>平掌柜茉莉苏打水/瓶</t>
  </si>
  <si>
    <t>平掌柜薄荷苏打水</t>
  </si>
  <si>
    <t>平掌柜薄荷苏打水/瓶</t>
  </si>
  <si>
    <t>平掌柜青柠苏打水</t>
  </si>
  <si>
    <t>平掌柜青柠苏打水/瓶</t>
  </si>
  <si>
    <t>天府家源柠檬苏打水</t>
  </si>
  <si>
    <t>天府家源柠檬苏打水/瓶</t>
  </si>
  <si>
    <t>王老吉310mL</t>
  </si>
  <si>
    <t>王老吉310mL/瓶</t>
  </si>
  <si>
    <t>加多宝310*24</t>
  </si>
  <si>
    <t>加多宝310*24/瓶</t>
  </si>
  <si>
    <t>元气森林电解青柠味</t>
  </si>
  <si>
    <t>1*15</t>
  </si>
  <si>
    <t>元气森林电解青柠味/瓶</t>
  </si>
  <si>
    <t>元气森林电解白桃味</t>
  </si>
  <si>
    <t>元气森林电解白桃味/瓶</t>
  </si>
  <si>
    <t>哇哈哈苏打水500mL</t>
  </si>
  <si>
    <t>哇哈哈苏打水500mL/瓶</t>
  </si>
  <si>
    <t>怡宝555mL</t>
  </si>
  <si>
    <t>怡宝555mL/瓶</t>
  </si>
  <si>
    <t>贴标210</t>
  </si>
  <si>
    <t>纸箱王老吉310mL</t>
  </si>
  <si>
    <t>哇哈哈矿泉水596mL</t>
  </si>
  <si>
    <t>哇哈哈矿泉水596mL/瓶</t>
  </si>
  <si>
    <t>大窑荔枝味</t>
  </si>
  <si>
    <t>1*12</t>
  </si>
  <si>
    <t>大窑荔枝味/瓶</t>
  </si>
  <si>
    <t>大窑橙味</t>
  </si>
  <si>
    <t>大窑橙味/瓶</t>
  </si>
  <si>
    <t>大窑嘉宾</t>
  </si>
  <si>
    <t>大窑嘉宾/瓶</t>
  </si>
  <si>
    <t>2L可乐</t>
  </si>
  <si>
    <t>1*8</t>
  </si>
  <si>
    <t>2L可乐/瓶</t>
  </si>
  <si>
    <t>欢乐家生榨椰子汁</t>
  </si>
  <si>
    <t>欢乐家生榨椰子汁/瓶</t>
  </si>
  <si>
    <t>雪碧500mL</t>
  </si>
  <si>
    <t>雪碧500mL/瓶</t>
  </si>
  <si>
    <t>哇哈哈苏打水350mL</t>
  </si>
  <si>
    <t>哇哈哈苏打水350mL/瓶</t>
  </si>
  <si>
    <t>外星人荔枝海盐味</t>
  </si>
  <si>
    <t>外星人荔枝海盐味/瓶</t>
  </si>
  <si>
    <t>雪碧2L</t>
  </si>
  <si>
    <t>雪碧2L/瓶</t>
  </si>
  <si>
    <t>可口可乐330mL</t>
  </si>
  <si>
    <t>可口可乐330mL/瓶</t>
  </si>
  <si>
    <t>雪碧330mL</t>
  </si>
  <si>
    <t>雪碧330mL/瓶</t>
  </si>
  <si>
    <t>可口可乐2L</t>
  </si>
  <si>
    <t>可口可乐2L/瓶</t>
  </si>
  <si>
    <t>天府蜜桃苏打水</t>
  </si>
  <si>
    <t>蜜桃苏打水/瓶</t>
  </si>
  <si>
    <t>可口可乐500mL</t>
  </si>
  <si>
    <t>可口可乐500mL/瓶</t>
  </si>
  <si>
    <t>哇哈哈薄荷苏打水350mL</t>
  </si>
  <si>
    <t>哇哈哈薄荷苏打水350mL/瓶</t>
  </si>
  <si>
    <t>怡宝2.08L</t>
  </si>
  <si>
    <t>怡宝2.08L/瓶</t>
  </si>
  <si>
    <t>炫味柠檬苏打水410mL</t>
  </si>
  <si>
    <t>15L水</t>
  </si>
  <si>
    <t>炫味柠檬苏打水410mL/瓶</t>
  </si>
  <si>
    <t>农夫山泉550mL</t>
  </si>
  <si>
    <t>农夫山泉550mL/瓶</t>
  </si>
  <si>
    <t>炫味苏打水600mL</t>
  </si>
  <si>
    <t>炫味苏打水600mL/瓶</t>
  </si>
  <si>
    <t>脉动桃子味600mL</t>
  </si>
  <si>
    <t>脉动桃子味600mL/瓶</t>
  </si>
  <si>
    <t>脉动青柠味600mL</t>
  </si>
  <si>
    <t>脉动青柠味600mL/瓶</t>
  </si>
  <si>
    <t>老北京汽水600mL</t>
  </si>
  <si>
    <t>老北京汽水600mL/瓶</t>
  </si>
  <si>
    <t>吸喵盐汽水</t>
  </si>
  <si>
    <t>吸喵盐汽水/瓶</t>
  </si>
  <si>
    <t>吸喵橘子味汽水</t>
  </si>
  <si>
    <t>吸喵橘子味汽水/瓶</t>
  </si>
  <si>
    <t>贴标360</t>
  </si>
  <si>
    <t>蜜桃苏打水</t>
  </si>
  <si>
    <t>贴标240组</t>
  </si>
  <si>
    <t>贴标270</t>
  </si>
  <si>
    <t>贴标492</t>
  </si>
  <si>
    <t>调货装车</t>
  </si>
  <si>
    <t>贴标354</t>
  </si>
  <si>
    <t>贴标384</t>
  </si>
  <si>
    <t>加多宝310</t>
  </si>
  <si>
    <t>1*20</t>
  </si>
  <si>
    <t>贴标330</t>
  </si>
  <si>
    <t>贴标534</t>
  </si>
  <si>
    <t>贴标414</t>
  </si>
  <si>
    <t>贴标618</t>
  </si>
  <si>
    <t>贴标450</t>
  </si>
  <si>
    <t>天府蜜桃苏打水/瓶</t>
  </si>
  <si>
    <t>贴标390份</t>
  </si>
  <si>
    <t>贴标480</t>
  </si>
  <si>
    <t>贴标564</t>
  </si>
  <si>
    <t>贴标660组</t>
  </si>
  <si>
    <t>贴标540</t>
  </si>
  <si>
    <t>贴标918</t>
  </si>
  <si>
    <t>贴标 829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</si>
</sst>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rgb="FF0061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1" xfId="22" applyFont="1" applyBorder="1" applyAlignment="1">
      <alignment horizontal="center" vertical="center"/>
    </xf>
    <xf numFmtId="0" fontId="2" fillId="2" borderId="1" xfId="22" applyFont="1" applyBorder="1" applyAlignment="1">
      <alignment horizontal="center" vertical="center"/>
    </xf>
    <xf numFmtId="0" fontId="2" fillId="2" borderId="2" xfId="22" applyFont="1" applyBorder="1" applyAlignment="1">
      <alignment horizontal="center" vertical="center"/>
    </xf>
    <xf numFmtId="0" fontId="2" fillId="2" borderId="0" xfId="22" applyFon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636"/>
  <sheetViews>
    <sheetView tabSelected="1" zoomScale="115" zoomScaleNormal="115" workbookViewId="0">
      <pane ySplit="1" topLeftCell="A2435" activePane="bottomLeft" state="frozen"/>
      <selection/>
      <selection pane="bottomLeft" activeCell="K2444" sqref="K2444"/>
    </sheetView>
  </sheetViews>
  <sheetFormatPr defaultColWidth="9" defaultRowHeight="13.5"/>
  <cols>
    <col min="1" max="1" width="8.875" customWidth="1"/>
    <col min="2" max="2" width="23.375" customWidth="1"/>
    <col min="5" max="5" width="9.36666666666667"/>
    <col min="12" max="12" width="7.81666666666667" customWidth="1"/>
    <col min="13" max="13" width="7.71666666666667" customWidth="1"/>
    <col min="15" max="15" width="8.35833333333333" customWidth="1"/>
    <col min="16" max="16" width="9.125" customWidth="1"/>
    <col min="17" max="17" width="8.04166666666667" customWidth="1"/>
    <col min="18" max="18" width="7.70833333333333" customWidth="1"/>
    <col min="19" max="19" width="8.69166666666667" customWidth="1"/>
    <col min="20" max="20" width="9.34166666666667" style="1" customWidth="1"/>
    <col min="21" max="21" width="13.5833333333333" customWidth="1"/>
    <col min="22" max="22" width="9.36666666666667"/>
    <col min="23" max="23" width="10.3666666666667"/>
  </cols>
  <sheetData>
    <row r="1" ht="20.25" spans="1: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6">
        <v>46143</v>
      </c>
      <c r="B2" t="s">
        <v>25</v>
      </c>
      <c r="C2" s="7" t="s">
        <v>26</v>
      </c>
      <c r="D2" s="7"/>
      <c r="E2" s="7"/>
      <c r="F2" s="7">
        <v>2111</v>
      </c>
      <c r="G2" s="8"/>
      <c r="H2" s="7">
        <v>0</v>
      </c>
      <c r="I2" s="7"/>
      <c r="J2" s="7"/>
      <c r="K2" s="7"/>
      <c r="L2" s="7"/>
      <c r="M2" s="7"/>
      <c r="N2" s="7"/>
      <c r="O2" s="7"/>
      <c r="P2" s="7"/>
      <c r="Q2" s="7"/>
      <c r="R2" s="7"/>
      <c r="S2" s="9">
        <f t="shared" ref="S2:S11" si="0">F2+G2-J2-K2-L2+M2+O2-P2-R2</f>
        <v>2111</v>
      </c>
      <c r="T2" s="10">
        <f t="shared" ref="T2:T11" si="1">H2+I2+N2+R2-Q2</f>
        <v>0</v>
      </c>
      <c r="U2" s="10"/>
      <c r="V2">
        <f t="shared" ref="V2:V8" si="2">X2*0.1</f>
        <v>0</v>
      </c>
      <c r="W2">
        <f t="shared" ref="W2:W12" si="3">E2*S2*1.5</f>
        <v>0</v>
      </c>
      <c r="X2">
        <f t="shared" ref="X2:X8" si="4">J2+K2</f>
        <v>0</v>
      </c>
      <c r="Y2">
        <f t="shared" ref="Y2:Y8" si="5">X2*0.13</f>
        <v>0</v>
      </c>
    </row>
    <row r="3" spans="1:25">
      <c r="A3" s="6"/>
      <c r="B3" t="s">
        <v>27</v>
      </c>
      <c r="C3" s="7" t="s">
        <v>26</v>
      </c>
      <c r="D3" s="7"/>
      <c r="E3" s="7"/>
      <c r="F3" s="7">
        <v>492</v>
      </c>
      <c r="G3" s="8"/>
      <c r="H3" s="7">
        <v>0</v>
      </c>
      <c r="I3" s="7"/>
      <c r="J3" s="7"/>
      <c r="K3" s="7"/>
      <c r="L3" s="7"/>
      <c r="M3" s="7"/>
      <c r="N3" s="7"/>
      <c r="O3" s="7"/>
      <c r="P3" s="7"/>
      <c r="Q3" s="7"/>
      <c r="R3" s="7"/>
      <c r="S3" s="9">
        <f t="shared" si="0"/>
        <v>492</v>
      </c>
      <c r="T3" s="10">
        <f t="shared" si="1"/>
        <v>0</v>
      </c>
      <c r="U3" s="10"/>
      <c r="V3">
        <f t="shared" si="2"/>
        <v>0</v>
      </c>
      <c r="W3">
        <f t="shared" si="3"/>
        <v>0</v>
      </c>
      <c r="X3">
        <f t="shared" si="4"/>
        <v>0</v>
      </c>
      <c r="Y3">
        <f t="shared" si="5"/>
        <v>0</v>
      </c>
    </row>
    <row r="4" spans="1:25">
      <c r="A4" s="6"/>
      <c r="B4" s="6" t="s">
        <v>28</v>
      </c>
      <c r="C4" s="7" t="s">
        <v>26</v>
      </c>
      <c r="D4" s="7"/>
      <c r="E4" s="7"/>
      <c r="F4" s="7">
        <v>1919</v>
      </c>
      <c r="G4" s="8"/>
      <c r="H4" s="7">
        <v>0</v>
      </c>
      <c r="I4" s="7"/>
      <c r="J4" s="7"/>
      <c r="K4" s="7">
        <v>45</v>
      </c>
      <c r="L4" s="7"/>
      <c r="M4" s="7">
        <v>2</v>
      </c>
      <c r="N4" s="7"/>
      <c r="O4" s="7"/>
      <c r="P4" s="7"/>
      <c r="Q4" s="7"/>
      <c r="R4" s="7"/>
      <c r="S4" s="9">
        <f t="shared" si="0"/>
        <v>1876</v>
      </c>
      <c r="T4" s="10">
        <f t="shared" si="1"/>
        <v>0</v>
      </c>
      <c r="U4" s="10"/>
      <c r="V4">
        <f t="shared" si="2"/>
        <v>4.5</v>
      </c>
      <c r="W4">
        <f t="shared" si="3"/>
        <v>0</v>
      </c>
      <c r="X4">
        <f t="shared" si="4"/>
        <v>45</v>
      </c>
      <c r="Y4">
        <f t="shared" si="5"/>
        <v>5.85</v>
      </c>
    </row>
    <row r="5" spans="1:25">
      <c r="A5" s="6"/>
      <c r="B5" s="6" t="s">
        <v>29</v>
      </c>
      <c r="C5" s="7" t="s">
        <v>26</v>
      </c>
      <c r="D5" s="7"/>
      <c r="E5" s="7"/>
      <c r="F5" s="7">
        <v>142</v>
      </c>
      <c r="G5" s="8"/>
      <c r="H5" s="7">
        <v>0</v>
      </c>
      <c r="I5" s="7"/>
      <c r="J5" s="7"/>
      <c r="K5" s="7"/>
      <c r="L5" s="7"/>
      <c r="M5" s="7">
        <v>21</v>
      </c>
      <c r="N5" s="7"/>
      <c r="O5" s="7"/>
      <c r="P5" s="7"/>
      <c r="Q5" s="7"/>
      <c r="R5" s="7"/>
      <c r="S5" s="9">
        <f t="shared" si="0"/>
        <v>163</v>
      </c>
      <c r="T5" s="10">
        <f t="shared" si="1"/>
        <v>0</v>
      </c>
      <c r="U5" s="10"/>
      <c r="V5">
        <f t="shared" si="2"/>
        <v>0</v>
      </c>
      <c r="W5">
        <f t="shared" si="3"/>
        <v>0</v>
      </c>
      <c r="X5">
        <f t="shared" si="4"/>
        <v>0</v>
      </c>
      <c r="Y5">
        <f t="shared" si="5"/>
        <v>0</v>
      </c>
    </row>
    <row r="6" spans="1:25">
      <c r="A6" s="6"/>
      <c r="B6" s="6" t="s">
        <v>30</v>
      </c>
      <c r="C6" s="7" t="s">
        <v>26</v>
      </c>
      <c r="D6" s="7"/>
      <c r="E6" s="7"/>
      <c r="F6" s="7">
        <v>688</v>
      </c>
      <c r="G6" s="8"/>
      <c r="H6" s="7">
        <v>0</v>
      </c>
      <c r="I6" s="7"/>
      <c r="J6" s="7">
        <v>75</v>
      </c>
      <c r="K6" s="7"/>
      <c r="L6" s="7"/>
      <c r="M6" s="7"/>
      <c r="N6" s="7"/>
      <c r="O6" s="7"/>
      <c r="P6" s="7"/>
      <c r="Q6" s="7"/>
      <c r="R6" s="7"/>
      <c r="S6" s="9">
        <f t="shared" si="0"/>
        <v>613</v>
      </c>
      <c r="T6" s="10">
        <f t="shared" si="1"/>
        <v>0</v>
      </c>
      <c r="U6" s="10"/>
      <c r="V6">
        <f t="shared" si="2"/>
        <v>7.5</v>
      </c>
      <c r="W6">
        <f t="shared" si="3"/>
        <v>0</v>
      </c>
      <c r="X6">
        <f t="shared" si="4"/>
        <v>75</v>
      </c>
      <c r="Y6">
        <f t="shared" si="5"/>
        <v>9.75</v>
      </c>
    </row>
    <row r="7" spans="1:25">
      <c r="A7" s="6"/>
      <c r="B7" s="6" t="s">
        <v>31</v>
      </c>
      <c r="C7" s="7" t="s">
        <v>26</v>
      </c>
      <c r="D7" s="7"/>
      <c r="E7" s="7"/>
      <c r="F7" s="7">
        <v>412</v>
      </c>
      <c r="G7" s="8"/>
      <c r="H7" s="7">
        <v>0</v>
      </c>
      <c r="I7" s="7"/>
      <c r="J7" s="7"/>
      <c r="K7" s="7"/>
      <c r="L7" s="7"/>
      <c r="M7" s="7">
        <v>72</v>
      </c>
      <c r="N7" s="7"/>
      <c r="O7" s="7"/>
      <c r="P7" s="7"/>
      <c r="Q7" s="7"/>
      <c r="R7" s="7"/>
      <c r="S7" s="9">
        <f t="shared" si="0"/>
        <v>484</v>
      </c>
      <c r="T7" s="10">
        <f t="shared" si="1"/>
        <v>0</v>
      </c>
      <c r="U7" s="10"/>
      <c r="V7">
        <f t="shared" si="2"/>
        <v>0</v>
      </c>
      <c r="W7">
        <f t="shared" si="3"/>
        <v>0</v>
      </c>
      <c r="X7">
        <f t="shared" si="4"/>
        <v>0</v>
      </c>
      <c r="Y7">
        <f t="shared" si="5"/>
        <v>0</v>
      </c>
    </row>
    <row r="8" spans="1:25">
      <c r="A8" s="6"/>
      <c r="B8" s="6" t="s">
        <v>32</v>
      </c>
      <c r="C8" s="7" t="s">
        <v>26</v>
      </c>
      <c r="D8" s="7"/>
      <c r="E8" s="7"/>
      <c r="F8" s="7">
        <v>1257</v>
      </c>
      <c r="G8" s="8"/>
      <c r="H8" s="7">
        <v>0</v>
      </c>
      <c r="I8" s="7"/>
      <c r="J8" s="7"/>
      <c r="K8" s="7"/>
      <c r="L8" s="7"/>
      <c r="M8" s="7">
        <v>2</v>
      </c>
      <c r="N8" s="7"/>
      <c r="O8" s="7"/>
      <c r="P8" s="7"/>
      <c r="Q8" s="7"/>
      <c r="R8" s="7"/>
      <c r="S8" s="9">
        <f t="shared" si="0"/>
        <v>1259</v>
      </c>
      <c r="T8" s="10">
        <f t="shared" si="1"/>
        <v>0</v>
      </c>
      <c r="U8" s="10"/>
      <c r="V8">
        <f t="shared" si="2"/>
        <v>0</v>
      </c>
      <c r="W8">
        <f t="shared" si="3"/>
        <v>0</v>
      </c>
      <c r="X8">
        <f t="shared" si="4"/>
        <v>0</v>
      </c>
      <c r="Y8">
        <f t="shared" si="5"/>
        <v>0</v>
      </c>
    </row>
    <row r="9" spans="1:25">
      <c r="A9" s="6"/>
      <c r="B9" s="6" t="s">
        <v>33</v>
      </c>
      <c r="C9" s="7" t="s">
        <v>26</v>
      </c>
      <c r="D9" s="7"/>
      <c r="E9" s="7"/>
      <c r="F9" s="7">
        <v>1048</v>
      </c>
      <c r="G9" s="8"/>
      <c r="H9" s="7">
        <v>0</v>
      </c>
      <c r="I9" s="7"/>
      <c r="J9" s="7"/>
      <c r="K9" s="7"/>
      <c r="L9" s="7"/>
      <c r="M9" s="7">
        <v>48</v>
      </c>
      <c r="N9" s="7"/>
      <c r="O9" s="7"/>
      <c r="P9" s="7"/>
      <c r="Q9" s="7"/>
      <c r="R9" s="7"/>
      <c r="S9" s="9">
        <f t="shared" si="0"/>
        <v>1096</v>
      </c>
      <c r="T9" s="10">
        <f t="shared" si="1"/>
        <v>0</v>
      </c>
      <c r="U9" s="10"/>
    </row>
    <row r="10" spans="1:25">
      <c r="A10" s="6"/>
      <c r="B10" s="11" t="s">
        <v>34</v>
      </c>
      <c r="C10" s="7" t="s">
        <v>26</v>
      </c>
      <c r="D10" s="7"/>
      <c r="E10" s="7"/>
      <c r="F10" s="7">
        <v>17</v>
      </c>
      <c r="G10" s="8"/>
      <c r="H10" s="7">
        <v>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9">
        <f t="shared" si="0"/>
        <v>17</v>
      </c>
      <c r="T10" s="10">
        <f t="shared" si="1"/>
        <v>0</v>
      </c>
      <c r="U10" s="10"/>
    </row>
    <row r="11" spans="1:25">
      <c r="A11" s="6"/>
      <c r="B11" s="11" t="s">
        <v>35</v>
      </c>
      <c r="C11" s="7" t="s">
        <v>26</v>
      </c>
      <c r="D11" s="7"/>
      <c r="E11" s="7"/>
      <c r="F11" s="7">
        <v>120</v>
      </c>
      <c r="G11" s="8"/>
      <c r="H11" s="7">
        <v>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9">
        <f t="shared" si="0"/>
        <v>120</v>
      </c>
      <c r="T11" s="10">
        <f t="shared" si="1"/>
        <v>0</v>
      </c>
      <c r="U11" s="10"/>
    </row>
    <row r="12" spans="1:25">
      <c r="A12" s="6"/>
      <c r="B12" s="11" t="s">
        <v>36</v>
      </c>
      <c r="C12" s="7" t="s">
        <v>26</v>
      </c>
      <c r="D12" s="7"/>
      <c r="E12" s="7"/>
      <c r="F12" s="7">
        <v>0</v>
      </c>
      <c r="G12" s="8"/>
      <c r="H12" s="7">
        <v>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9">
        <f t="shared" ref="S12:S62" si="6">F12+G12-J12-K12-L12+M12+O12-P12-R12</f>
        <v>0</v>
      </c>
      <c r="T12" s="10">
        <f t="shared" ref="T12:T62" si="7">H12+I12+N12+R12-Q12</f>
        <v>0</v>
      </c>
      <c r="U12" s="10"/>
    </row>
    <row r="13" spans="1:25">
      <c r="A13" s="6"/>
      <c r="B13" s="11" t="s">
        <v>37</v>
      </c>
      <c r="C13" s="7" t="s">
        <v>26</v>
      </c>
      <c r="D13" s="7"/>
      <c r="E13" s="7"/>
      <c r="F13" s="7">
        <v>24</v>
      </c>
      <c r="G13" s="8"/>
      <c r="H13" s="7">
        <v>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9">
        <f t="shared" si="6"/>
        <v>24</v>
      </c>
      <c r="T13" s="10">
        <f t="shared" si="7"/>
        <v>0</v>
      </c>
      <c r="U13" s="10"/>
    </row>
    <row r="14" spans="1:25">
      <c r="A14" s="6"/>
      <c r="B14" s="11" t="s">
        <v>38</v>
      </c>
      <c r="C14" s="7" t="s">
        <v>26</v>
      </c>
      <c r="D14" s="7"/>
      <c r="E14" s="7"/>
      <c r="F14" s="7">
        <v>0</v>
      </c>
      <c r="G14" s="8"/>
      <c r="H14" s="7">
        <v>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9">
        <f t="shared" si="6"/>
        <v>0</v>
      </c>
      <c r="T14" s="10">
        <f t="shared" si="7"/>
        <v>0</v>
      </c>
      <c r="U14" s="10"/>
    </row>
    <row r="15" spans="1:25">
      <c r="A15" s="6"/>
      <c r="B15" s="11" t="s">
        <v>39</v>
      </c>
      <c r="C15" s="7" t="s">
        <v>26</v>
      </c>
      <c r="D15" s="7"/>
      <c r="E15" s="7"/>
      <c r="F15" s="7">
        <v>292</v>
      </c>
      <c r="G15" s="8"/>
      <c r="H15" s="7">
        <v>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9">
        <f t="shared" si="6"/>
        <v>292</v>
      </c>
      <c r="T15" s="10">
        <f t="shared" si="7"/>
        <v>0</v>
      </c>
      <c r="U15" s="10"/>
    </row>
    <row r="16" spans="1:25">
      <c r="A16" s="6"/>
      <c r="B16" s="11" t="s">
        <v>40</v>
      </c>
      <c r="C16" s="7" t="s">
        <v>41</v>
      </c>
      <c r="D16" s="7"/>
      <c r="E16" s="7"/>
      <c r="F16" s="7">
        <v>0</v>
      </c>
      <c r="G16" s="8"/>
      <c r="H16" s="7">
        <v>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9">
        <f t="shared" si="6"/>
        <v>0</v>
      </c>
      <c r="T16" s="10">
        <f t="shared" si="7"/>
        <v>0</v>
      </c>
      <c r="U16" s="10"/>
    </row>
    <row r="17" spans="1:21">
      <c r="A17" s="6"/>
      <c r="B17" s="11" t="s">
        <v>42</v>
      </c>
      <c r="C17" s="7" t="s">
        <v>41</v>
      </c>
      <c r="D17" s="7"/>
      <c r="E17" s="7"/>
      <c r="F17" s="7">
        <v>53</v>
      </c>
      <c r="G17" s="8"/>
      <c r="H17" s="7">
        <v>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9">
        <f t="shared" si="6"/>
        <v>53</v>
      </c>
      <c r="T17" s="10">
        <f t="shared" si="7"/>
        <v>0</v>
      </c>
      <c r="U17" s="10"/>
    </row>
    <row r="18" spans="1:21">
      <c r="A18" s="6"/>
      <c r="B18" s="11" t="s">
        <v>43</v>
      </c>
      <c r="C18" s="7" t="s">
        <v>41</v>
      </c>
      <c r="D18" s="7"/>
      <c r="E18" s="7"/>
      <c r="F18" s="7">
        <v>0</v>
      </c>
      <c r="G18" s="8"/>
      <c r="H18" s="7">
        <v>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9">
        <f t="shared" si="6"/>
        <v>0</v>
      </c>
      <c r="T18" s="10">
        <f t="shared" si="7"/>
        <v>0</v>
      </c>
      <c r="U18" s="10"/>
    </row>
    <row r="19" spans="1:21">
      <c r="A19" s="6"/>
      <c r="B19" s="11" t="s">
        <v>44</v>
      </c>
      <c r="C19" s="7" t="s">
        <v>41</v>
      </c>
      <c r="D19" s="7"/>
      <c r="E19" s="7"/>
      <c r="F19" s="7">
        <v>75</v>
      </c>
      <c r="G19" s="8"/>
      <c r="H19" s="7">
        <v>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9">
        <f t="shared" si="6"/>
        <v>75</v>
      </c>
      <c r="T19" s="10">
        <f t="shared" si="7"/>
        <v>0</v>
      </c>
      <c r="U19" s="10"/>
    </row>
    <row r="20" spans="1:21">
      <c r="A20" s="6"/>
      <c r="B20" s="11" t="s">
        <v>45</v>
      </c>
      <c r="C20" s="7" t="s">
        <v>41</v>
      </c>
      <c r="D20" s="7"/>
      <c r="E20" s="7"/>
      <c r="F20" s="7">
        <v>0</v>
      </c>
      <c r="G20" s="8"/>
      <c r="H20" s="7"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9">
        <f t="shared" si="6"/>
        <v>0</v>
      </c>
      <c r="T20" s="10">
        <f t="shared" si="7"/>
        <v>0</v>
      </c>
      <c r="U20" s="10"/>
    </row>
    <row r="21" spans="1:21">
      <c r="A21" s="6"/>
      <c r="B21" s="11" t="s">
        <v>46</v>
      </c>
      <c r="C21" s="7" t="s">
        <v>41</v>
      </c>
      <c r="D21" s="7"/>
      <c r="E21" s="7"/>
      <c r="F21" s="7">
        <v>17</v>
      </c>
      <c r="G21" s="8"/>
      <c r="H21" s="7">
        <v>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9">
        <f t="shared" si="6"/>
        <v>17</v>
      </c>
      <c r="T21" s="10">
        <f t="shared" si="7"/>
        <v>0</v>
      </c>
      <c r="U21" s="10"/>
    </row>
    <row r="22" spans="1:21">
      <c r="A22" s="6"/>
      <c r="B22" s="11" t="s">
        <v>47</v>
      </c>
      <c r="C22" s="7" t="s">
        <v>26</v>
      </c>
      <c r="D22" s="7"/>
      <c r="E22" s="7"/>
      <c r="F22" s="7">
        <v>1290</v>
      </c>
      <c r="G22" s="8"/>
      <c r="H22" s="7">
        <v>0</v>
      </c>
      <c r="I22" s="7"/>
      <c r="J22" s="7">
        <v>1278</v>
      </c>
      <c r="K22" s="7"/>
      <c r="L22" s="7"/>
      <c r="M22" s="7"/>
      <c r="N22" s="7"/>
      <c r="O22" s="7"/>
      <c r="P22" s="7"/>
      <c r="Q22" s="7"/>
      <c r="R22" s="7"/>
      <c r="S22" s="9">
        <f t="shared" si="6"/>
        <v>12</v>
      </c>
      <c r="T22" s="10">
        <f t="shared" si="7"/>
        <v>0</v>
      </c>
      <c r="U22" s="10"/>
    </row>
    <row r="23" spans="1:21">
      <c r="A23" s="6"/>
      <c r="B23" s="11" t="s">
        <v>48</v>
      </c>
      <c r="C23" s="7" t="s">
        <v>26</v>
      </c>
      <c r="D23" s="7"/>
      <c r="E23" s="7"/>
      <c r="F23" s="7">
        <v>53447</v>
      </c>
      <c r="G23" s="8"/>
      <c r="H23" s="7">
        <v>0</v>
      </c>
      <c r="I23" s="7"/>
      <c r="J23" s="7">
        <v>1050</v>
      </c>
      <c r="K23" s="7"/>
      <c r="L23" s="7"/>
      <c r="M23" s="7">
        <v>115</v>
      </c>
      <c r="N23" s="7"/>
      <c r="O23" s="7"/>
      <c r="P23" s="7"/>
      <c r="Q23" s="7"/>
      <c r="R23" s="7"/>
      <c r="S23" s="9">
        <f t="shared" si="6"/>
        <v>52512</v>
      </c>
      <c r="T23" s="10">
        <f t="shared" si="7"/>
        <v>0</v>
      </c>
      <c r="U23" s="10" t="s">
        <v>49</v>
      </c>
    </row>
    <row r="24" spans="1:21">
      <c r="A24" s="6"/>
      <c r="B24" s="11" t="s">
        <v>50</v>
      </c>
      <c r="C24" s="7" t="s">
        <v>26</v>
      </c>
      <c r="D24" s="7"/>
      <c r="E24" s="7"/>
      <c r="F24" s="7">
        <v>0</v>
      </c>
      <c r="G24" s="8"/>
      <c r="H24" s="7">
        <v>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9">
        <f t="shared" si="6"/>
        <v>0</v>
      </c>
      <c r="T24" s="10">
        <f t="shared" si="7"/>
        <v>0</v>
      </c>
      <c r="U24" s="10"/>
    </row>
    <row r="25" spans="1:21">
      <c r="A25" s="6"/>
      <c r="B25" s="11" t="s">
        <v>51</v>
      </c>
      <c r="C25" s="7" t="s">
        <v>26</v>
      </c>
      <c r="D25" s="7"/>
      <c r="E25" s="7"/>
      <c r="F25" s="7">
        <v>0</v>
      </c>
      <c r="G25" s="8">
        <v>300</v>
      </c>
      <c r="H25" s="7">
        <v>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9">
        <f t="shared" si="6"/>
        <v>300</v>
      </c>
      <c r="T25" s="10">
        <f t="shared" si="7"/>
        <v>0</v>
      </c>
      <c r="U25" s="10"/>
    </row>
    <row r="26" spans="1:21">
      <c r="A26" s="6"/>
      <c r="B26" s="11" t="s">
        <v>52</v>
      </c>
      <c r="C26" s="7" t="s">
        <v>26</v>
      </c>
      <c r="D26" s="7"/>
      <c r="E26" s="7"/>
      <c r="F26" s="7">
        <v>94</v>
      </c>
      <c r="G26" s="8">
        <v>16800</v>
      </c>
      <c r="H26" s="7">
        <v>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9">
        <f t="shared" si="6"/>
        <v>16894</v>
      </c>
      <c r="T26" s="10">
        <f t="shared" si="7"/>
        <v>0</v>
      </c>
      <c r="U26" s="10"/>
    </row>
    <row r="27" spans="1:21">
      <c r="A27" s="6"/>
      <c r="B27" s="11" t="s">
        <v>53</v>
      </c>
      <c r="C27" s="7" t="s">
        <v>54</v>
      </c>
      <c r="D27" s="7"/>
      <c r="E27" s="7"/>
      <c r="F27" s="7">
        <v>0</v>
      </c>
      <c r="G27" s="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9">
        <f t="shared" si="6"/>
        <v>0</v>
      </c>
      <c r="T27" s="10">
        <f t="shared" si="7"/>
        <v>0</v>
      </c>
      <c r="U27" s="10"/>
    </row>
    <row r="28" spans="1:21">
      <c r="A28" s="6"/>
      <c r="B28" s="11" t="s">
        <v>55</v>
      </c>
      <c r="C28" s="7" t="s">
        <v>54</v>
      </c>
      <c r="D28" s="7"/>
      <c r="E28" s="7"/>
      <c r="F28" s="7">
        <v>15</v>
      </c>
      <c r="G28" s="8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9">
        <f t="shared" si="6"/>
        <v>15</v>
      </c>
      <c r="T28" s="10">
        <f t="shared" si="7"/>
        <v>0</v>
      </c>
      <c r="U28" s="10"/>
    </row>
    <row r="29" spans="1:21">
      <c r="A29" s="6"/>
      <c r="B29" s="11" t="s">
        <v>56</v>
      </c>
      <c r="C29" s="7" t="s">
        <v>54</v>
      </c>
      <c r="D29" s="7"/>
      <c r="E29" s="7"/>
      <c r="F29" s="7">
        <v>1920</v>
      </c>
      <c r="G29" s="8"/>
      <c r="H29" s="7"/>
      <c r="I29" s="7"/>
      <c r="J29" s="7">
        <v>180</v>
      </c>
      <c r="K29" s="7"/>
      <c r="L29" s="7"/>
      <c r="M29" s="7"/>
      <c r="N29" s="7"/>
      <c r="O29" s="7"/>
      <c r="P29" s="7"/>
      <c r="Q29" s="7"/>
      <c r="R29" s="7"/>
      <c r="S29" s="9">
        <f t="shared" si="6"/>
        <v>1740</v>
      </c>
      <c r="T29" s="10">
        <f t="shared" si="7"/>
        <v>0</v>
      </c>
      <c r="U29" s="10"/>
    </row>
    <row r="30" spans="1:21">
      <c r="A30" s="6"/>
      <c r="B30" s="11" t="s">
        <v>57</v>
      </c>
      <c r="C30" s="7" t="s">
        <v>54</v>
      </c>
      <c r="D30" s="7"/>
      <c r="E30" s="7"/>
      <c r="F30" s="7">
        <v>273</v>
      </c>
      <c r="G30" s="8"/>
      <c r="H30" s="7"/>
      <c r="I30" s="7"/>
      <c r="J30" s="7"/>
      <c r="K30" s="7"/>
      <c r="L30" s="7"/>
      <c r="M30" s="7">
        <v>46</v>
      </c>
      <c r="N30" s="7"/>
      <c r="O30" s="7"/>
      <c r="P30" s="7"/>
      <c r="Q30" s="7"/>
      <c r="R30" s="7"/>
      <c r="S30" s="9">
        <f t="shared" si="6"/>
        <v>319</v>
      </c>
      <c r="T30" s="10">
        <f t="shared" si="7"/>
        <v>0</v>
      </c>
      <c r="U30" s="10"/>
    </row>
    <row r="31" spans="1:21">
      <c r="A31" s="6"/>
      <c r="B31" s="11" t="s">
        <v>58</v>
      </c>
      <c r="C31" s="7" t="s">
        <v>54</v>
      </c>
      <c r="D31" s="7"/>
      <c r="E31" s="7"/>
      <c r="F31" s="7">
        <v>0</v>
      </c>
      <c r="G31" s="8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9">
        <f t="shared" si="6"/>
        <v>0</v>
      </c>
      <c r="T31" s="10">
        <f t="shared" si="7"/>
        <v>0</v>
      </c>
      <c r="U31" s="10"/>
    </row>
    <row r="32" spans="1:21">
      <c r="A32" s="6"/>
      <c r="B32" s="11" t="s">
        <v>59</v>
      </c>
      <c r="C32" s="7" t="s">
        <v>54</v>
      </c>
      <c r="D32" s="7"/>
      <c r="E32" s="7"/>
      <c r="F32" s="7">
        <v>19</v>
      </c>
      <c r="G32" s="8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9">
        <f t="shared" si="6"/>
        <v>19</v>
      </c>
      <c r="T32" s="10">
        <f t="shared" si="7"/>
        <v>0</v>
      </c>
      <c r="U32" s="10"/>
    </row>
    <row r="33" spans="1:21">
      <c r="A33" s="6"/>
      <c r="B33" s="11" t="s">
        <v>60</v>
      </c>
      <c r="C33" s="7" t="s">
        <v>61</v>
      </c>
      <c r="D33" s="7"/>
      <c r="E33" s="7"/>
      <c r="F33" s="7">
        <v>0</v>
      </c>
      <c r="G33" s="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9">
        <f t="shared" si="6"/>
        <v>0</v>
      </c>
      <c r="T33" s="10">
        <f t="shared" si="7"/>
        <v>0</v>
      </c>
      <c r="U33" s="10"/>
    </row>
    <row r="34" spans="1:21">
      <c r="A34" s="6"/>
      <c r="B34" s="11" t="s">
        <v>62</v>
      </c>
      <c r="C34" s="7" t="s">
        <v>61</v>
      </c>
      <c r="D34" s="7"/>
      <c r="E34" s="7"/>
      <c r="F34" s="7">
        <v>11</v>
      </c>
      <c r="G34" s="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9">
        <f t="shared" si="6"/>
        <v>11</v>
      </c>
      <c r="T34" s="10">
        <f t="shared" si="7"/>
        <v>0</v>
      </c>
      <c r="U34" s="10"/>
    </row>
    <row r="35" spans="1:21">
      <c r="A35" s="6"/>
      <c r="B35" s="10" t="s">
        <v>63</v>
      </c>
      <c r="C35" s="10" t="s">
        <v>41</v>
      </c>
      <c r="D35" s="7"/>
      <c r="E35" s="7"/>
      <c r="F35" s="7">
        <v>0</v>
      </c>
      <c r="G35" s="8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9">
        <f t="shared" si="6"/>
        <v>0</v>
      </c>
      <c r="T35" s="10">
        <f t="shared" si="7"/>
        <v>0</v>
      </c>
      <c r="U35" s="10"/>
    </row>
    <row r="36" spans="1:21">
      <c r="A36" s="6"/>
      <c r="B36" s="10" t="s">
        <v>64</v>
      </c>
      <c r="C36" s="10" t="s">
        <v>41</v>
      </c>
      <c r="D36" s="7"/>
      <c r="E36" s="7"/>
      <c r="F36" s="7">
        <v>5</v>
      </c>
      <c r="G36" s="8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9">
        <f t="shared" si="6"/>
        <v>5</v>
      </c>
      <c r="T36" s="10">
        <f t="shared" si="7"/>
        <v>0</v>
      </c>
      <c r="U36" s="10"/>
    </row>
    <row r="37" spans="1:21">
      <c r="A37" s="6"/>
      <c r="B37" s="11" t="s">
        <v>65</v>
      </c>
      <c r="C37" s="7" t="s">
        <v>26</v>
      </c>
      <c r="D37" s="7"/>
      <c r="E37" s="7"/>
      <c r="F37" s="7">
        <v>0</v>
      </c>
      <c r="G37" s="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9">
        <f t="shared" si="6"/>
        <v>0</v>
      </c>
      <c r="T37" s="10">
        <f t="shared" si="7"/>
        <v>0</v>
      </c>
      <c r="U37" s="10"/>
    </row>
    <row r="38" spans="1:21">
      <c r="A38" s="6"/>
      <c r="B38" s="11" t="s">
        <v>66</v>
      </c>
      <c r="C38" s="7" t="s">
        <v>26</v>
      </c>
      <c r="D38" s="7"/>
      <c r="E38" s="7"/>
      <c r="F38" s="7">
        <v>71</v>
      </c>
      <c r="G38" s="8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9">
        <f t="shared" si="6"/>
        <v>71</v>
      </c>
      <c r="T38" s="10">
        <f t="shared" si="7"/>
        <v>0</v>
      </c>
      <c r="U38" s="10"/>
    </row>
    <row r="39" spans="1:21">
      <c r="A39" s="6"/>
      <c r="B39" s="11" t="s">
        <v>67</v>
      </c>
      <c r="C39" s="7" t="s">
        <v>26</v>
      </c>
      <c r="D39" s="7"/>
      <c r="E39" s="7"/>
      <c r="F39" s="7">
        <v>0</v>
      </c>
      <c r="G39" s="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9">
        <f t="shared" si="6"/>
        <v>0</v>
      </c>
      <c r="T39" s="10">
        <f t="shared" si="7"/>
        <v>0</v>
      </c>
      <c r="U39" s="10"/>
    </row>
    <row r="40" spans="1:21">
      <c r="A40" s="6"/>
      <c r="B40" s="11" t="s">
        <v>68</v>
      </c>
      <c r="C40" s="7" t="s">
        <v>26</v>
      </c>
      <c r="D40" s="7"/>
      <c r="E40" s="7"/>
      <c r="F40" s="7">
        <v>7</v>
      </c>
      <c r="G40" s="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9">
        <f t="shared" si="6"/>
        <v>7</v>
      </c>
      <c r="T40" s="10">
        <f t="shared" si="7"/>
        <v>0</v>
      </c>
      <c r="U40" s="10"/>
    </row>
    <row r="41" spans="1:21">
      <c r="A41" s="6"/>
      <c r="B41" s="11" t="s">
        <v>69</v>
      </c>
      <c r="C41" s="7" t="s">
        <v>41</v>
      </c>
      <c r="D41" s="7"/>
      <c r="E41" s="7"/>
      <c r="F41" s="7">
        <v>0</v>
      </c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9">
        <f t="shared" si="6"/>
        <v>0</v>
      </c>
      <c r="T41" s="10">
        <f t="shared" si="7"/>
        <v>0</v>
      </c>
      <c r="U41" s="10"/>
    </row>
    <row r="42" spans="1:21">
      <c r="A42" s="6"/>
      <c r="B42" s="11" t="s">
        <v>70</v>
      </c>
      <c r="C42" s="7" t="s">
        <v>41</v>
      </c>
      <c r="D42" s="7"/>
      <c r="E42" s="7"/>
      <c r="F42" s="7">
        <v>13</v>
      </c>
      <c r="G42" s="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9">
        <f t="shared" si="6"/>
        <v>13</v>
      </c>
      <c r="T42" s="10">
        <f t="shared" si="7"/>
        <v>0</v>
      </c>
      <c r="U42" s="10"/>
    </row>
    <row r="43" spans="1:21">
      <c r="A43" s="6"/>
      <c r="B43" s="11" t="s">
        <v>71</v>
      </c>
      <c r="C43" s="7" t="s">
        <v>61</v>
      </c>
      <c r="D43" s="7"/>
      <c r="E43" s="7"/>
      <c r="F43" s="7">
        <v>0</v>
      </c>
      <c r="G43" s="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9">
        <f t="shared" si="6"/>
        <v>0</v>
      </c>
      <c r="T43" s="10">
        <f t="shared" si="7"/>
        <v>0</v>
      </c>
      <c r="U43" s="10"/>
    </row>
    <row r="44" spans="1:21">
      <c r="A44" s="6"/>
      <c r="B44" s="11" t="s">
        <v>72</v>
      </c>
      <c r="C44" s="7" t="s">
        <v>61</v>
      </c>
      <c r="D44" s="7"/>
      <c r="E44" s="7"/>
      <c r="F44" s="7">
        <v>8</v>
      </c>
      <c r="G44" s="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9">
        <f t="shared" si="6"/>
        <v>8</v>
      </c>
      <c r="T44" s="10">
        <f t="shared" si="7"/>
        <v>0</v>
      </c>
      <c r="U44" s="10"/>
    </row>
    <row r="45" spans="1:21">
      <c r="A45" s="6"/>
      <c r="B45" s="11" t="s">
        <v>73</v>
      </c>
      <c r="C45" s="7" t="s">
        <v>26</v>
      </c>
      <c r="D45" s="7"/>
      <c r="E45" s="7"/>
      <c r="F45" s="7">
        <v>0</v>
      </c>
      <c r="G45" s="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9">
        <f t="shared" si="6"/>
        <v>0</v>
      </c>
      <c r="T45" s="10">
        <f t="shared" si="7"/>
        <v>0</v>
      </c>
      <c r="U45" s="10"/>
    </row>
    <row r="46" spans="1:21">
      <c r="A46" s="6"/>
      <c r="B46" s="11" t="s">
        <v>74</v>
      </c>
      <c r="C46" s="7" t="s">
        <v>26</v>
      </c>
      <c r="D46" s="7"/>
      <c r="E46" s="7"/>
      <c r="F46" s="7">
        <v>429</v>
      </c>
      <c r="G46" s="8"/>
      <c r="H46" s="7"/>
      <c r="I46" s="7"/>
      <c r="J46" s="7">
        <v>394</v>
      </c>
      <c r="K46" s="7"/>
      <c r="L46" s="7"/>
      <c r="M46" s="7"/>
      <c r="N46" s="7"/>
      <c r="O46" s="7">
        <v>288</v>
      </c>
      <c r="P46" s="7"/>
      <c r="Q46" s="7">
        <v>29</v>
      </c>
      <c r="R46" s="7">
        <v>29</v>
      </c>
      <c r="S46" s="9">
        <f t="shared" si="6"/>
        <v>294</v>
      </c>
      <c r="T46" s="10">
        <f t="shared" si="7"/>
        <v>0</v>
      </c>
      <c r="U46" s="10"/>
    </row>
    <row r="47" spans="1:21">
      <c r="A47" s="6"/>
      <c r="B47" s="11" t="s">
        <v>75</v>
      </c>
      <c r="C47" s="7" t="s">
        <v>26</v>
      </c>
      <c r="D47" s="7"/>
      <c r="E47" s="7"/>
      <c r="F47" s="7">
        <v>0</v>
      </c>
      <c r="G47" s="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9">
        <f t="shared" si="6"/>
        <v>0</v>
      </c>
      <c r="T47" s="10">
        <f t="shared" si="7"/>
        <v>0</v>
      </c>
      <c r="U47" s="10"/>
    </row>
    <row r="48" spans="1:21">
      <c r="A48" s="6"/>
      <c r="B48" s="11" t="s">
        <v>76</v>
      </c>
      <c r="C48" s="7" t="s">
        <v>26</v>
      </c>
      <c r="D48" s="7"/>
      <c r="E48" s="7"/>
      <c r="F48" s="7">
        <v>893</v>
      </c>
      <c r="G48" s="8"/>
      <c r="H48" s="7"/>
      <c r="I48" s="7"/>
      <c r="J48" s="7">
        <v>576</v>
      </c>
      <c r="K48" s="7"/>
      <c r="L48" s="7">
        <v>78</v>
      </c>
      <c r="M48" s="7">
        <v>44</v>
      </c>
      <c r="N48" s="7"/>
      <c r="O48" s="7"/>
      <c r="P48" s="7"/>
      <c r="Q48" s="7">
        <v>36</v>
      </c>
      <c r="R48" s="7">
        <v>36</v>
      </c>
      <c r="S48" s="9">
        <f t="shared" si="6"/>
        <v>247</v>
      </c>
      <c r="T48" s="10">
        <f t="shared" si="7"/>
        <v>0</v>
      </c>
      <c r="U48" s="10"/>
    </row>
    <row r="49" spans="1:21">
      <c r="A49" s="6"/>
      <c r="B49" s="11" t="s">
        <v>77</v>
      </c>
      <c r="C49" s="7" t="s">
        <v>61</v>
      </c>
      <c r="D49" s="7"/>
      <c r="E49" s="7"/>
      <c r="F49" s="7">
        <v>0</v>
      </c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9">
        <f t="shared" si="6"/>
        <v>0</v>
      </c>
      <c r="T49" s="10">
        <f t="shared" si="7"/>
        <v>0</v>
      </c>
      <c r="U49" s="10"/>
    </row>
    <row r="50" spans="1:21">
      <c r="A50" s="6"/>
      <c r="B50" s="11" t="s">
        <v>78</v>
      </c>
      <c r="C50" s="7" t="s">
        <v>61</v>
      </c>
      <c r="D50" s="7"/>
      <c r="E50" s="7"/>
      <c r="F50" s="7">
        <v>69</v>
      </c>
      <c r="G50" s="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9">
        <f t="shared" si="6"/>
        <v>69</v>
      </c>
      <c r="T50" s="10">
        <f t="shared" si="7"/>
        <v>0</v>
      </c>
      <c r="U50" s="10"/>
    </row>
    <row r="51" spans="1:21">
      <c r="A51" s="6"/>
      <c r="B51" s="11" t="s">
        <v>79</v>
      </c>
      <c r="C51" s="7" t="s">
        <v>26</v>
      </c>
      <c r="D51" s="7"/>
      <c r="E51" s="7"/>
      <c r="F51" s="7">
        <v>1142</v>
      </c>
      <c r="G51" s="8"/>
      <c r="H51" s="7"/>
      <c r="I51" s="7"/>
      <c r="J51" s="7"/>
      <c r="K51" s="7"/>
      <c r="L51" s="7"/>
      <c r="M51" s="7">
        <v>2</v>
      </c>
      <c r="N51" s="7"/>
      <c r="O51" s="7"/>
      <c r="P51" s="7"/>
      <c r="Q51" s="7"/>
      <c r="R51" s="7"/>
      <c r="S51" s="9">
        <f t="shared" si="6"/>
        <v>1144</v>
      </c>
      <c r="T51" s="10">
        <f t="shared" si="7"/>
        <v>0</v>
      </c>
      <c r="U51" s="10"/>
    </row>
    <row r="52" spans="1:21">
      <c r="A52" s="6"/>
      <c r="B52" s="11" t="s">
        <v>80</v>
      </c>
      <c r="C52" s="7" t="s">
        <v>26</v>
      </c>
      <c r="D52" s="7"/>
      <c r="E52" s="7"/>
      <c r="F52" s="7">
        <v>448</v>
      </c>
      <c r="G52" s="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9">
        <f t="shared" si="6"/>
        <v>448</v>
      </c>
      <c r="T52" s="10">
        <f t="shared" si="7"/>
        <v>0</v>
      </c>
      <c r="U52" s="10"/>
    </row>
    <row r="53" spans="1:21">
      <c r="A53" s="6"/>
      <c r="B53" s="11" t="s">
        <v>81</v>
      </c>
      <c r="C53" s="7" t="s">
        <v>26</v>
      </c>
      <c r="D53" s="7"/>
      <c r="E53" s="7"/>
      <c r="F53" s="7">
        <v>0</v>
      </c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9">
        <f t="shared" si="6"/>
        <v>0</v>
      </c>
      <c r="T53" s="10">
        <f t="shared" si="7"/>
        <v>0</v>
      </c>
      <c r="U53" s="10"/>
    </row>
    <row r="54" spans="1:21">
      <c r="A54" s="6"/>
      <c r="B54" s="11" t="s">
        <v>82</v>
      </c>
      <c r="C54" s="7" t="s">
        <v>26</v>
      </c>
      <c r="D54" s="7"/>
      <c r="E54" s="7"/>
      <c r="F54" s="7">
        <v>14</v>
      </c>
      <c r="G54" s="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9">
        <f t="shared" si="6"/>
        <v>14</v>
      </c>
      <c r="T54" s="10">
        <f t="shared" si="7"/>
        <v>0</v>
      </c>
      <c r="U54" s="10"/>
    </row>
    <row r="55" spans="1:21">
      <c r="A55" s="6"/>
      <c r="B55" s="11" t="s">
        <v>83</v>
      </c>
      <c r="C55" s="7" t="s">
        <v>26</v>
      </c>
      <c r="D55" s="7"/>
      <c r="E55" s="7"/>
      <c r="F55" s="7">
        <v>0</v>
      </c>
      <c r="G55" s="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9">
        <f t="shared" si="6"/>
        <v>0</v>
      </c>
      <c r="T55" s="10">
        <f t="shared" si="7"/>
        <v>0</v>
      </c>
      <c r="U55" s="10"/>
    </row>
    <row r="56" spans="1:21">
      <c r="A56" s="6"/>
      <c r="B56" s="11" t="s">
        <v>84</v>
      </c>
      <c r="C56" s="7" t="s">
        <v>26</v>
      </c>
      <c r="D56" s="7"/>
      <c r="E56" s="7"/>
      <c r="F56" s="7">
        <v>28</v>
      </c>
      <c r="G56" s="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9">
        <f t="shared" si="6"/>
        <v>28</v>
      </c>
      <c r="T56" s="10">
        <f t="shared" si="7"/>
        <v>0</v>
      </c>
      <c r="U56" s="10"/>
    </row>
    <row r="57" spans="1:21">
      <c r="A57" s="6"/>
      <c r="B57" s="11" t="s">
        <v>85</v>
      </c>
      <c r="C57" s="7" t="s">
        <v>61</v>
      </c>
      <c r="D57" s="7"/>
      <c r="E57" s="7"/>
      <c r="F57" s="7">
        <v>0</v>
      </c>
      <c r="G57" s="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9">
        <f t="shared" si="6"/>
        <v>0</v>
      </c>
      <c r="T57" s="10">
        <f t="shared" si="7"/>
        <v>0</v>
      </c>
      <c r="U57" s="10"/>
    </row>
    <row r="58" spans="1:21">
      <c r="A58" s="6"/>
      <c r="B58" s="11" t="s">
        <v>86</v>
      </c>
      <c r="C58" s="7" t="s">
        <v>61</v>
      </c>
      <c r="D58" s="7"/>
      <c r="E58" s="7"/>
      <c r="F58" s="7">
        <v>10</v>
      </c>
      <c r="G58" s="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9">
        <f t="shared" si="6"/>
        <v>10</v>
      </c>
      <c r="T58" s="10">
        <f t="shared" si="7"/>
        <v>0</v>
      </c>
      <c r="U58" s="10"/>
    </row>
    <row r="59" spans="1:21">
      <c r="A59" s="6"/>
      <c r="B59" s="11" t="s">
        <v>87</v>
      </c>
      <c r="C59" s="7" t="s">
        <v>26</v>
      </c>
      <c r="D59" s="7"/>
      <c r="E59" s="7"/>
      <c r="F59" s="7">
        <v>36</v>
      </c>
      <c r="G59" s="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9">
        <f t="shared" si="6"/>
        <v>36</v>
      </c>
      <c r="T59" s="10">
        <f t="shared" si="7"/>
        <v>0</v>
      </c>
      <c r="U59" s="10"/>
    </row>
    <row r="60" spans="1:21">
      <c r="A60" s="6"/>
      <c r="B60" s="11" t="s">
        <v>88</v>
      </c>
      <c r="C60" s="10"/>
      <c r="D60" s="7"/>
      <c r="E60" s="7"/>
      <c r="F60" s="7">
        <v>378</v>
      </c>
      <c r="G60" s="8"/>
      <c r="H60" s="7"/>
      <c r="I60" s="7"/>
      <c r="J60" s="7">
        <v>37</v>
      </c>
      <c r="K60" s="7"/>
      <c r="L60" s="7"/>
      <c r="M60" s="7"/>
      <c r="N60" s="7"/>
      <c r="O60" s="7"/>
      <c r="P60" s="7"/>
      <c r="Q60" s="7"/>
      <c r="R60" s="7"/>
      <c r="S60" s="9">
        <f t="shared" si="6"/>
        <v>341</v>
      </c>
      <c r="T60" s="10">
        <f t="shared" si="7"/>
        <v>0</v>
      </c>
      <c r="U60" s="10"/>
    </row>
    <row r="61" spans="1:21">
      <c r="A61" s="6"/>
      <c r="B61" s="11" t="s">
        <v>89</v>
      </c>
      <c r="C61" s="7" t="s">
        <v>26</v>
      </c>
      <c r="D61" s="7"/>
      <c r="E61" s="7"/>
      <c r="F61" s="7">
        <v>642</v>
      </c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9">
        <f t="shared" si="6"/>
        <v>642</v>
      </c>
      <c r="T61" s="10">
        <f t="shared" si="7"/>
        <v>0</v>
      </c>
      <c r="U61" s="10"/>
    </row>
    <row r="62" spans="1:21">
      <c r="A62" s="6"/>
      <c r="B62" s="11" t="s">
        <v>90</v>
      </c>
      <c r="C62" s="7" t="s">
        <v>26</v>
      </c>
      <c r="D62" s="7"/>
      <c r="E62" s="7"/>
      <c r="F62" s="7">
        <v>0</v>
      </c>
      <c r="G62" s="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9">
        <f t="shared" si="6"/>
        <v>0</v>
      </c>
      <c r="T62" s="10">
        <f t="shared" si="7"/>
        <v>0</v>
      </c>
      <c r="U62" s="10"/>
    </row>
    <row r="63" spans="1:21">
      <c r="A63" s="6"/>
      <c r="B63" s="11" t="s">
        <v>91</v>
      </c>
      <c r="C63" s="7" t="s">
        <v>26</v>
      </c>
      <c r="D63" s="7"/>
      <c r="E63" s="7"/>
      <c r="F63" s="7">
        <v>115</v>
      </c>
      <c r="G63" s="8"/>
      <c r="H63" s="7"/>
      <c r="I63" s="7"/>
      <c r="J63" s="7"/>
      <c r="K63" s="7"/>
      <c r="L63" s="7"/>
      <c r="M63" s="7">
        <v>23</v>
      </c>
      <c r="N63" s="7"/>
      <c r="O63" s="7"/>
      <c r="P63" s="7"/>
      <c r="Q63" s="7"/>
      <c r="R63" s="7"/>
      <c r="S63" s="9">
        <f t="shared" ref="S63:S122" si="8">F63+G63-J63-K63-L63+M63+O63-P63-R63</f>
        <v>138</v>
      </c>
      <c r="T63" s="10">
        <f t="shared" ref="T63:T122" si="9">H63+I63+N63+R63-Q63</f>
        <v>0</v>
      </c>
      <c r="U63" s="10"/>
    </row>
    <row r="64" spans="1:21">
      <c r="A64" s="6"/>
      <c r="B64" s="12" t="s">
        <v>92</v>
      </c>
      <c r="C64" s="13" t="s">
        <v>26</v>
      </c>
      <c r="D64" s="7"/>
      <c r="E64" s="7"/>
      <c r="F64" s="7">
        <v>288</v>
      </c>
      <c r="G64" s="8"/>
      <c r="H64" s="7"/>
      <c r="I64" s="7"/>
      <c r="J64" s="7">
        <v>180</v>
      </c>
      <c r="K64" s="7"/>
      <c r="L64" s="7"/>
      <c r="M64" s="7"/>
      <c r="N64" s="7"/>
      <c r="O64" s="7"/>
      <c r="P64" s="7"/>
      <c r="Q64" s="7"/>
      <c r="R64" s="7"/>
      <c r="S64" s="9">
        <f t="shared" si="8"/>
        <v>108</v>
      </c>
      <c r="T64" s="10">
        <f t="shared" si="9"/>
        <v>0</v>
      </c>
      <c r="U64" s="10"/>
    </row>
    <row r="65" spans="1:21">
      <c r="A65" s="6"/>
      <c r="B65" s="12" t="s">
        <v>93</v>
      </c>
      <c r="C65" s="13" t="s">
        <v>26</v>
      </c>
      <c r="D65" s="7"/>
      <c r="E65" s="7"/>
      <c r="F65" s="7">
        <v>2421</v>
      </c>
      <c r="G65" s="8"/>
      <c r="H65" s="7"/>
      <c r="I65" s="7"/>
      <c r="J65" s="7"/>
      <c r="K65" s="7"/>
      <c r="L65" s="7"/>
      <c r="M65" s="7">
        <v>22</v>
      </c>
      <c r="N65" s="7"/>
      <c r="O65" s="7"/>
      <c r="P65" s="7"/>
      <c r="Q65" s="7"/>
      <c r="R65" s="7"/>
      <c r="S65" s="9">
        <f t="shared" si="8"/>
        <v>2443</v>
      </c>
      <c r="T65" s="10">
        <f t="shared" si="9"/>
        <v>0</v>
      </c>
      <c r="U65" s="10"/>
    </row>
    <row r="66" spans="1:21">
      <c r="A66" s="6"/>
      <c r="B66" s="11" t="s">
        <v>94</v>
      </c>
      <c r="C66" s="7" t="s">
        <v>41</v>
      </c>
      <c r="D66" s="7"/>
      <c r="E66" s="7"/>
      <c r="F66" s="7">
        <v>0</v>
      </c>
      <c r="G66" s="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9">
        <f t="shared" si="8"/>
        <v>0</v>
      </c>
      <c r="T66" s="10">
        <f t="shared" si="9"/>
        <v>0</v>
      </c>
      <c r="U66" s="10"/>
    </row>
    <row r="67" spans="1:21">
      <c r="A67" s="6"/>
      <c r="B67" s="11" t="s">
        <v>95</v>
      </c>
      <c r="C67" s="7" t="s">
        <v>41</v>
      </c>
      <c r="D67" s="7"/>
      <c r="E67" s="7"/>
      <c r="F67" s="7">
        <v>39</v>
      </c>
      <c r="G67" s="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9">
        <f t="shared" si="8"/>
        <v>39</v>
      </c>
      <c r="T67" s="10">
        <f t="shared" si="9"/>
        <v>0</v>
      </c>
      <c r="U67" s="10"/>
    </row>
    <row r="68" spans="1:21">
      <c r="A68" s="6"/>
      <c r="B68" s="11" t="s">
        <v>96</v>
      </c>
      <c r="C68" s="7" t="s">
        <v>41</v>
      </c>
      <c r="D68" s="7"/>
      <c r="E68" s="7"/>
      <c r="F68" s="7">
        <v>0</v>
      </c>
      <c r="G68" s="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9">
        <f t="shared" si="8"/>
        <v>0</v>
      </c>
      <c r="T68" s="10">
        <f t="shared" si="9"/>
        <v>0</v>
      </c>
      <c r="U68" s="10"/>
    </row>
    <row r="69" spans="1:21">
      <c r="A69" s="6"/>
      <c r="B69" s="11" t="s">
        <v>97</v>
      </c>
      <c r="C69" s="7" t="s">
        <v>41</v>
      </c>
      <c r="D69" s="7"/>
      <c r="E69" s="7"/>
      <c r="F69" s="7">
        <v>54</v>
      </c>
      <c r="G69" s="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9">
        <f t="shared" si="8"/>
        <v>54</v>
      </c>
      <c r="T69" s="10">
        <f t="shared" si="9"/>
        <v>0</v>
      </c>
      <c r="U69" s="10"/>
    </row>
    <row r="70" spans="1:21">
      <c r="A70" s="6"/>
      <c r="B70" s="11" t="s">
        <v>98</v>
      </c>
      <c r="C70" s="7" t="s">
        <v>26</v>
      </c>
      <c r="D70" s="7"/>
      <c r="E70" s="7"/>
      <c r="F70" s="7">
        <v>983</v>
      </c>
      <c r="G70" s="8"/>
      <c r="H70" s="7"/>
      <c r="I70" s="7"/>
      <c r="J70" s="7">
        <v>72</v>
      </c>
      <c r="K70" s="7"/>
      <c r="L70" s="7"/>
      <c r="M70" s="7">
        <v>1</v>
      </c>
      <c r="N70" s="7"/>
      <c r="O70" s="7"/>
      <c r="P70" s="7"/>
      <c r="Q70" s="7"/>
      <c r="R70" s="7"/>
      <c r="S70" s="9">
        <f t="shared" si="8"/>
        <v>912</v>
      </c>
      <c r="T70" s="10">
        <f t="shared" si="9"/>
        <v>0</v>
      </c>
      <c r="U70" s="10"/>
    </row>
    <row r="71" spans="1:21">
      <c r="A71" s="6"/>
      <c r="B71" s="11" t="s">
        <v>99</v>
      </c>
      <c r="C71" s="7" t="s">
        <v>26</v>
      </c>
      <c r="D71" s="7"/>
      <c r="E71" s="7"/>
      <c r="F71" s="7">
        <v>710</v>
      </c>
      <c r="G71" s="8"/>
      <c r="H71" s="7"/>
      <c r="I71" s="7"/>
      <c r="J71" s="7"/>
      <c r="K71" s="7"/>
      <c r="L71" s="7"/>
      <c r="M71" s="7">
        <v>44</v>
      </c>
      <c r="N71" s="7"/>
      <c r="O71" s="7"/>
      <c r="P71" s="7"/>
      <c r="Q71" s="7"/>
      <c r="R71" s="7"/>
      <c r="S71" s="9">
        <f t="shared" si="8"/>
        <v>754</v>
      </c>
      <c r="T71" s="10">
        <f t="shared" si="9"/>
        <v>0</v>
      </c>
      <c r="U71" s="10"/>
    </row>
    <row r="72" spans="1:21">
      <c r="A72" s="6"/>
      <c r="B72" s="11" t="s">
        <v>100</v>
      </c>
      <c r="C72" s="7" t="s">
        <v>26</v>
      </c>
      <c r="D72" s="7"/>
      <c r="E72" s="7"/>
      <c r="F72" s="7">
        <v>393</v>
      </c>
      <c r="G72" s="8"/>
      <c r="H72" s="7"/>
      <c r="I72" s="7"/>
      <c r="J72" s="7">
        <v>62</v>
      </c>
      <c r="K72" s="7"/>
      <c r="L72" s="7"/>
      <c r="M72" s="7"/>
      <c r="N72" s="7"/>
      <c r="O72" s="7"/>
      <c r="P72" s="7"/>
      <c r="Q72" s="7"/>
      <c r="R72" s="7"/>
      <c r="S72" s="9">
        <f t="shared" si="8"/>
        <v>331</v>
      </c>
      <c r="T72" s="10">
        <f t="shared" si="9"/>
        <v>0</v>
      </c>
      <c r="U72" s="10"/>
    </row>
    <row r="73" spans="1:21">
      <c r="A73" s="6"/>
      <c r="B73" s="11" t="s">
        <v>101</v>
      </c>
      <c r="C73" s="7" t="s">
        <v>26</v>
      </c>
      <c r="D73" s="7"/>
      <c r="E73" s="7"/>
      <c r="F73" s="7">
        <v>120</v>
      </c>
      <c r="G73" s="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9">
        <f t="shared" si="8"/>
        <v>120</v>
      </c>
      <c r="T73" s="10">
        <f t="shared" si="9"/>
        <v>0</v>
      </c>
      <c r="U73" s="10"/>
    </row>
    <row r="74" spans="1:21">
      <c r="A74" s="6"/>
      <c r="B74" s="11" t="s">
        <v>102</v>
      </c>
      <c r="C74" s="7" t="s">
        <v>26</v>
      </c>
      <c r="D74" s="7"/>
      <c r="E74" s="7"/>
      <c r="F74" s="7">
        <v>1075</v>
      </c>
      <c r="G74" s="8"/>
      <c r="H74" s="7"/>
      <c r="I74" s="7"/>
      <c r="J74" s="7">
        <v>24</v>
      </c>
      <c r="K74" s="7"/>
      <c r="L74" s="7"/>
      <c r="M74" s="7"/>
      <c r="N74" s="7"/>
      <c r="O74" s="7"/>
      <c r="P74" s="7"/>
      <c r="Q74" s="7"/>
      <c r="R74" s="7"/>
      <c r="S74" s="9">
        <f t="shared" si="8"/>
        <v>1051</v>
      </c>
      <c r="T74" s="10">
        <f t="shared" si="9"/>
        <v>0</v>
      </c>
      <c r="U74" s="10"/>
    </row>
    <row r="75" spans="1:21">
      <c r="A75" s="6"/>
      <c r="B75" s="11" t="s">
        <v>103</v>
      </c>
      <c r="C75" s="7" t="s">
        <v>26</v>
      </c>
      <c r="D75" s="7"/>
      <c r="E75" s="7"/>
      <c r="F75" s="7">
        <v>233</v>
      </c>
      <c r="G75" s="8"/>
      <c r="H75" s="7"/>
      <c r="I75" s="7"/>
      <c r="J75" s="7"/>
      <c r="K75" s="7"/>
      <c r="L75" s="7"/>
      <c r="M75" s="7">
        <v>24</v>
      </c>
      <c r="N75" s="7"/>
      <c r="O75" s="7"/>
      <c r="P75" s="7"/>
      <c r="Q75" s="7"/>
      <c r="R75" s="7"/>
      <c r="S75" s="9">
        <f t="shared" si="8"/>
        <v>257</v>
      </c>
      <c r="T75" s="10">
        <f t="shared" si="9"/>
        <v>0</v>
      </c>
      <c r="U75" s="10"/>
    </row>
    <row r="76" spans="1:21">
      <c r="A76" s="6"/>
      <c r="B76" s="11"/>
      <c r="C76" s="7"/>
      <c r="D76" s="7"/>
      <c r="E76" s="7"/>
      <c r="F76" s="7"/>
      <c r="G76" s="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9">
        <f t="shared" si="8"/>
        <v>0</v>
      </c>
      <c r="T76" s="10">
        <f t="shared" si="9"/>
        <v>0</v>
      </c>
      <c r="U76" s="10"/>
    </row>
    <row r="77" spans="1:21">
      <c r="A77" s="6"/>
      <c r="B77" s="11"/>
      <c r="C77" s="7"/>
      <c r="D77" s="7"/>
      <c r="E77" s="7"/>
      <c r="F77" s="7"/>
      <c r="G77" s="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9">
        <f t="shared" si="8"/>
        <v>0</v>
      </c>
      <c r="T77" s="10">
        <f t="shared" si="9"/>
        <v>0</v>
      </c>
      <c r="U77" s="10"/>
    </row>
    <row r="78" spans="1:21">
      <c r="A78" s="6"/>
      <c r="B78" s="11"/>
      <c r="C78" s="7"/>
      <c r="D78" s="7"/>
      <c r="E78" s="7"/>
      <c r="F78" s="7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9">
        <f t="shared" si="8"/>
        <v>0</v>
      </c>
      <c r="T78" s="10">
        <f t="shared" si="9"/>
        <v>0</v>
      </c>
      <c r="U78" s="10"/>
    </row>
    <row r="79" spans="1:21">
      <c r="A79" s="6"/>
      <c r="B79" s="11"/>
      <c r="C79" s="7"/>
      <c r="D79" s="7"/>
      <c r="E79" s="7"/>
      <c r="F79" s="7"/>
      <c r="G79" s="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9">
        <f t="shared" si="8"/>
        <v>0</v>
      </c>
      <c r="T79" s="10">
        <f t="shared" si="9"/>
        <v>0</v>
      </c>
      <c r="U79" s="10"/>
    </row>
    <row r="80" spans="1:21">
      <c r="A80" s="6"/>
      <c r="B80" s="11"/>
      <c r="C80" s="7"/>
      <c r="D80" s="7"/>
      <c r="E80" s="7"/>
      <c r="F80" s="7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9">
        <f t="shared" si="8"/>
        <v>0</v>
      </c>
      <c r="T80" s="10">
        <f t="shared" si="9"/>
        <v>0</v>
      </c>
      <c r="U80" s="10"/>
    </row>
    <row r="81" spans="1:25">
      <c r="A81" s="6"/>
      <c r="B81" s="11"/>
      <c r="C81" s="7"/>
      <c r="D81" s="7"/>
      <c r="E81" s="7"/>
      <c r="F81" s="7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9">
        <f t="shared" si="8"/>
        <v>0</v>
      </c>
      <c r="T81" s="10">
        <f t="shared" si="9"/>
        <v>0</v>
      </c>
      <c r="U81" s="10"/>
    </row>
    <row r="82" spans="1:25">
      <c r="A82" s="6"/>
      <c r="B82" s="11"/>
      <c r="C82" s="7"/>
      <c r="D82" s="7"/>
      <c r="E82" s="7"/>
      <c r="F82" s="7"/>
      <c r="G82" s="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9">
        <f t="shared" si="8"/>
        <v>0</v>
      </c>
      <c r="T82" s="10">
        <f t="shared" si="9"/>
        <v>0</v>
      </c>
      <c r="U82" s="10"/>
    </row>
    <row r="83" spans="1:25">
      <c r="A83" s="6"/>
      <c r="B83" s="11"/>
      <c r="C83" s="7"/>
      <c r="D83" s="7"/>
      <c r="E83" s="7"/>
      <c r="F83" s="7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9">
        <f t="shared" si="8"/>
        <v>0</v>
      </c>
      <c r="T83" s="10">
        <f t="shared" si="9"/>
        <v>0</v>
      </c>
      <c r="U83" s="10"/>
    </row>
    <row r="84" spans="1:25">
      <c r="A84" s="6"/>
      <c r="B84" s="11"/>
      <c r="C84" s="7"/>
      <c r="D84" s="7"/>
      <c r="E84" s="7"/>
      <c r="F84" s="7"/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9">
        <f t="shared" si="8"/>
        <v>0</v>
      </c>
      <c r="T84" s="10">
        <f t="shared" si="9"/>
        <v>0</v>
      </c>
      <c r="U84" s="10"/>
    </row>
    <row r="85" spans="1:25">
      <c r="A85" s="6"/>
      <c r="B85" s="11"/>
      <c r="C85" s="7"/>
      <c r="D85" s="7"/>
      <c r="E85" s="7"/>
      <c r="F85" s="7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9">
        <f t="shared" si="8"/>
        <v>0</v>
      </c>
      <c r="T85" s="10">
        <f t="shared" si="9"/>
        <v>0</v>
      </c>
      <c r="U85" s="10"/>
    </row>
    <row r="86" spans="1:25">
      <c r="A86" s="6"/>
      <c r="B86" s="11"/>
      <c r="C86" s="7"/>
      <c r="D86" s="7"/>
      <c r="E86" s="7"/>
      <c r="F86" s="7"/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9">
        <f t="shared" si="8"/>
        <v>0</v>
      </c>
      <c r="T86" s="10">
        <f t="shared" si="9"/>
        <v>0</v>
      </c>
      <c r="U86" s="10"/>
      <c r="V86">
        <f>X86*0.1</f>
        <v>0</v>
      </c>
      <c r="W86">
        <f>E86*S86*1.5</f>
        <v>0</v>
      </c>
      <c r="X86">
        <f>J86+K86</f>
        <v>0</v>
      </c>
      <c r="Y86">
        <f>X86*0.13</f>
        <v>0</v>
      </c>
    </row>
    <row r="87" spans="1:25">
      <c r="A87" s="6">
        <v>46144</v>
      </c>
      <c r="B87" t="s">
        <v>25</v>
      </c>
      <c r="C87" s="7" t="s">
        <v>26</v>
      </c>
      <c r="D87" s="7"/>
      <c r="E87" s="7"/>
      <c r="F87" s="7">
        <f t="shared" ref="F87:F97" si="10">S2</f>
        <v>2111</v>
      </c>
      <c r="G87" s="8"/>
      <c r="H87" s="7">
        <f t="shared" ref="H87:H96" si="11">T2</f>
        <v>0</v>
      </c>
      <c r="I87" s="7"/>
      <c r="J87" s="7">
        <v>92</v>
      </c>
      <c r="K87" s="7"/>
      <c r="L87" s="7"/>
      <c r="M87" s="7"/>
      <c r="N87" s="7"/>
      <c r="O87" s="7"/>
      <c r="P87" s="7"/>
      <c r="Q87" s="7"/>
      <c r="R87" s="7"/>
      <c r="S87" s="9">
        <f t="shared" si="8"/>
        <v>2019</v>
      </c>
      <c r="T87" s="10">
        <f t="shared" si="9"/>
        <v>0</v>
      </c>
      <c r="U87" s="10"/>
      <c r="V87">
        <f t="shared" ref="V87:V93" si="12">X87*0.1</f>
        <v>9.2</v>
      </c>
      <c r="W87">
        <f t="shared" ref="W87:W93" si="13">E87*S87*1.5</f>
        <v>0</v>
      </c>
      <c r="X87">
        <f t="shared" ref="X87:X93" si="14">J87+K87</f>
        <v>92</v>
      </c>
      <c r="Y87">
        <f t="shared" ref="Y87:Y93" si="15">X87*0.13</f>
        <v>11.96</v>
      </c>
    </row>
    <row r="88" spans="1:25">
      <c r="A88" s="6"/>
      <c r="B88" t="s">
        <v>27</v>
      </c>
      <c r="C88" s="7" t="s">
        <v>26</v>
      </c>
      <c r="D88" s="7"/>
      <c r="E88" s="7"/>
      <c r="F88" s="7">
        <f t="shared" si="10"/>
        <v>492</v>
      </c>
      <c r="G88" s="8"/>
      <c r="H88" s="7">
        <f t="shared" si="11"/>
        <v>0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9">
        <f t="shared" si="8"/>
        <v>492</v>
      </c>
      <c r="T88" s="10">
        <f t="shared" si="9"/>
        <v>0</v>
      </c>
      <c r="U88" s="10"/>
      <c r="V88">
        <f t="shared" si="12"/>
        <v>0</v>
      </c>
      <c r="W88">
        <f t="shared" si="13"/>
        <v>0</v>
      </c>
      <c r="X88">
        <f t="shared" si="14"/>
        <v>0</v>
      </c>
      <c r="Y88">
        <f t="shared" si="15"/>
        <v>0</v>
      </c>
    </row>
    <row r="89" spans="1:25">
      <c r="A89" s="6"/>
      <c r="B89" s="6" t="s">
        <v>28</v>
      </c>
      <c r="C89" s="7" t="s">
        <v>26</v>
      </c>
      <c r="D89" s="7"/>
      <c r="E89" s="7"/>
      <c r="F89" s="7">
        <f t="shared" si="10"/>
        <v>1876</v>
      </c>
      <c r="G89" s="8"/>
      <c r="H89" s="7">
        <f t="shared" si="11"/>
        <v>0</v>
      </c>
      <c r="I89" s="7"/>
      <c r="J89" s="7"/>
      <c r="K89" s="7">
        <v>40</v>
      </c>
      <c r="L89" s="7"/>
      <c r="M89" s="7"/>
      <c r="N89" s="7"/>
      <c r="O89" s="7"/>
      <c r="P89" s="7"/>
      <c r="Q89" s="7"/>
      <c r="R89" s="7"/>
      <c r="S89" s="9">
        <f t="shared" si="8"/>
        <v>1836</v>
      </c>
      <c r="T89" s="10">
        <f t="shared" si="9"/>
        <v>0</v>
      </c>
      <c r="U89" s="10"/>
      <c r="V89">
        <f t="shared" si="12"/>
        <v>4</v>
      </c>
      <c r="W89">
        <f t="shared" si="13"/>
        <v>0</v>
      </c>
      <c r="X89">
        <f t="shared" si="14"/>
        <v>40</v>
      </c>
      <c r="Y89">
        <f t="shared" si="15"/>
        <v>5.2</v>
      </c>
    </row>
    <row r="90" spans="1:25">
      <c r="A90" s="6"/>
      <c r="B90" s="6" t="s">
        <v>29</v>
      </c>
      <c r="C90" s="7" t="s">
        <v>26</v>
      </c>
      <c r="D90" s="7"/>
      <c r="E90" s="7"/>
      <c r="F90" s="7">
        <f t="shared" si="10"/>
        <v>163</v>
      </c>
      <c r="G90" s="8"/>
      <c r="H90" s="7">
        <f t="shared" si="11"/>
        <v>0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9">
        <f t="shared" si="8"/>
        <v>163</v>
      </c>
      <c r="T90" s="10">
        <f t="shared" si="9"/>
        <v>0</v>
      </c>
      <c r="U90" s="10"/>
      <c r="V90">
        <f t="shared" si="12"/>
        <v>0</v>
      </c>
      <c r="W90">
        <f t="shared" si="13"/>
        <v>0</v>
      </c>
      <c r="X90">
        <f t="shared" si="14"/>
        <v>0</v>
      </c>
      <c r="Y90">
        <f t="shared" si="15"/>
        <v>0</v>
      </c>
    </row>
    <row r="91" spans="1:25">
      <c r="A91" s="6"/>
      <c r="B91" s="6" t="s">
        <v>30</v>
      </c>
      <c r="C91" s="7" t="s">
        <v>26</v>
      </c>
      <c r="D91" s="7"/>
      <c r="E91" s="7"/>
      <c r="F91" s="7">
        <f t="shared" si="10"/>
        <v>613</v>
      </c>
      <c r="G91" s="8"/>
      <c r="H91" s="7">
        <f t="shared" si="11"/>
        <v>0</v>
      </c>
      <c r="I91" s="7"/>
      <c r="J91" s="7">
        <v>45</v>
      </c>
      <c r="K91" s="7"/>
      <c r="L91" s="7"/>
      <c r="M91" s="7"/>
      <c r="N91" s="7"/>
      <c r="O91" s="7"/>
      <c r="P91" s="7"/>
      <c r="Q91" s="7"/>
      <c r="R91" s="7"/>
      <c r="S91" s="9">
        <f t="shared" si="8"/>
        <v>568</v>
      </c>
      <c r="T91" s="10">
        <f t="shared" si="9"/>
        <v>0</v>
      </c>
      <c r="U91" s="10"/>
      <c r="V91">
        <f t="shared" si="12"/>
        <v>4.5</v>
      </c>
      <c r="W91">
        <f t="shared" si="13"/>
        <v>0</v>
      </c>
      <c r="X91">
        <f t="shared" si="14"/>
        <v>45</v>
      </c>
      <c r="Y91">
        <f t="shared" si="15"/>
        <v>5.85</v>
      </c>
    </row>
    <row r="92" spans="1:25">
      <c r="A92" s="6"/>
      <c r="B92" s="6" t="s">
        <v>31</v>
      </c>
      <c r="C92" s="7" t="s">
        <v>26</v>
      </c>
      <c r="D92" s="7"/>
      <c r="E92" s="7"/>
      <c r="F92" s="7">
        <f t="shared" si="10"/>
        <v>484</v>
      </c>
      <c r="G92" s="8"/>
      <c r="H92" s="7">
        <f t="shared" si="11"/>
        <v>0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9">
        <f t="shared" si="8"/>
        <v>484</v>
      </c>
      <c r="T92" s="10">
        <f t="shared" si="9"/>
        <v>0</v>
      </c>
      <c r="U92" s="10"/>
      <c r="V92">
        <f t="shared" si="12"/>
        <v>0</v>
      </c>
      <c r="W92">
        <f t="shared" si="13"/>
        <v>0</v>
      </c>
      <c r="X92">
        <f t="shared" si="14"/>
        <v>0</v>
      </c>
      <c r="Y92">
        <f t="shared" si="15"/>
        <v>0</v>
      </c>
    </row>
    <row r="93" spans="1:25">
      <c r="A93" s="6"/>
      <c r="B93" s="6" t="s">
        <v>32</v>
      </c>
      <c r="C93" s="7" t="s">
        <v>26</v>
      </c>
      <c r="D93" s="7"/>
      <c r="E93" s="7"/>
      <c r="F93" s="7">
        <f t="shared" si="10"/>
        <v>1259</v>
      </c>
      <c r="G93" s="8"/>
      <c r="H93" s="7">
        <f t="shared" si="11"/>
        <v>0</v>
      </c>
      <c r="I93" s="7"/>
      <c r="J93" s="7">
        <v>120</v>
      </c>
      <c r="K93" s="7"/>
      <c r="L93" s="7"/>
      <c r="M93" s="7"/>
      <c r="N93" s="7"/>
      <c r="O93" s="7"/>
      <c r="P93" s="7"/>
      <c r="Q93" s="7"/>
      <c r="R93" s="7"/>
      <c r="S93" s="9">
        <f t="shared" si="8"/>
        <v>1139</v>
      </c>
      <c r="T93" s="10">
        <f t="shared" si="9"/>
        <v>0</v>
      </c>
      <c r="U93" s="10"/>
      <c r="V93">
        <f t="shared" si="12"/>
        <v>12</v>
      </c>
      <c r="W93">
        <f t="shared" si="13"/>
        <v>0</v>
      </c>
      <c r="X93">
        <f t="shared" si="14"/>
        <v>120</v>
      </c>
      <c r="Y93">
        <f t="shared" si="15"/>
        <v>15.6</v>
      </c>
    </row>
    <row r="94" spans="1:25">
      <c r="A94" s="6"/>
      <c r="B94" s="6" t="s">
        <v>33</v>
      </c>
      <c r="C94" s="7" t="s">
        <v>26</v>
      </c>
      <c r="D94" s="7"/>
      <c r="E94" s="7"/>
      <c r="F94" s="7">
        <f t="shared" si="10"/>
        <v>1096</v>
      </c>
      <c r="G94" s="8"/>
      <c r="H94" s="7">
        <f t="shared" si="11"/>
        <v>0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9">
        <f t="shared" si="8"/>
        <v>1096</v>
      </c>
      <c r="T94" s="10">
        <f t="shared" si="9"/>
        <v>0</v>
      </c>
      <c r="U94" s="10"/>
    </row>
    <row r="95" spans="1:25">
      <c r="A95" s="6"/>
      <c r="B95" s="11" t="s">
        <v>34</v>
      </c>
      <c r="C95" s="7" t="s">
        <v>26</v>
      </c>
      <c r="D95" s="7"/>
      <c r="E95" s="7"/>
      <c r="F95" s="7">
        <f t="shared" si="10"/>
        <v>17</v>
      </c>
      <c r="G95" s="8"/>
      <c r="H95" s="7">
        <f t="shared" si="11"/>
        <v>0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9">
        <f t="shared" si="8"/>
        <v>17</v>
      </c>
      <c r="T95" s="10">
        <f t="shared" si="9"/>
        <v>0</v>
      </c>
      <c r="U95" s="10"/>
    </row>
    <row r="96" spans="1:25">
      <c r="A96" s="6"/>
      <c r="B96" s="11" t="s">
        <v>35</v>
      </c>
      <c r="C96" s="7" t="s">
        <v>26</v>
      </c>
      <c r="D96" s="7"/>
      <c r="E96" s="7"/>
      <c r="F96" s="7">
        <f t="shared" si="10"/>
        <v>120</v>
      </c>
      <c r="G96" s="8"/>
      <c r="H96" s="7">
        <f t="shared" si="11"/>
        <v>0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9">
        <f t="shared" si="8"/>
        <v>120</v>
      </c>
      <c r="T96" s="10">
        <f t="shared" si="9"/>
        <v>0</v>
      </c>
      <c r="U96" s="10"/>
    </row>
    <row r="97" spans="1:21">
      <c r="A97" s="6"/>
      <c r="B97" s="11" t="s">
        <v>36</v>
      </c>
      <c r="C97" s="7" t="s">
        <v>26</v>
      </c>
      <c r="D97" s="7"/>
      <c r="E97" s="7"/>
      <c r="F97" s="7">
        <f t="shared" si="10"/>
        <v>0</v>
      </c>
      <c r="G97" s="8"/>
      <c r="H97" s="7">
        <f t="shared" ref="H97:H147" si="16">T12</f>
        <v>0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9">
        <f t="shared" si="8"/>
        <v>0</v>
      </c>
      <c r="T97" s="10">
        <f t="shared" si="9"/>
        <v>0</v>
      </c>
      <c r="U97" s="10"/>
    </row>
    <row r="98" spans="1:21">
      <c r="A98" s="6"/>
      <c r="B98" s="11" t="s">
        <v>37</v>
      </c>
      <c r="C98" s="7" t="s">
        <v>26</v>
      </c>
      <c r="D98" s="7"/>
      <c r="E98" s="7"/>
      <c r="F98" s="7">
        <f t="shared" ref="F98:F130" si="17">S13</f>
        <v>24</v>
      </c>
      <c r="G98" s="8"/>
      <c r="H98" s="7">
        <f t="shared" si="16"/>
        <v>0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9">
        <f t="shared" si="8"/>
        <v>24</v>
      </c>
      <c r="T98" s="10">
        <f t="shared" si="9"/>
        <v>0</v>
      </c>
      <c r="U98" s="10"/>
    </row>
    <row r="99" spans="1:21">
      <c r="A99" s="6"/>
      <c r="B99" s="11" t="s">
        <v>38</v>
      </c>
      <c r="C99" s="7" t="s">
        <v>26</v>
      </c>
      <c r="D99" s="7"/>
      <c r="E99" s="7"/>
      <c r="F99" s="7">
        <f t="shared" si="17"/>
        <v>0</v>
      </c>
      <c r="G99" s="8"/>
      <c r="H99" s="7">
        <f t="shared" si="16"/>
        <v>0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9">
        <f t="shared" si="8"/>
        <v>0</v>
      </c>
      <c r="T99" s="10">
        <f t="shared" si="9"/>
        <v>0</v>
      </c>
      <c r="U99" s="10"/>
    </row>
    <row r="100" spans="1:21">
      <c r="A100" s="6"/>
      <c r="B100" s="11" t="s">
        <v>39</v>
      </c>
      <c r="C100" s="7" t="s">
        <v>26</v>
      </c>
      <c r="D100" s="7"/>
      <c r="E100" s="7"/>
      <c r="F100" s="7">
        <f t="shared" si="17"/>
        <v>292</v>
      </c>
      <c r="G100" s="8"/>
      <c r="H100" s="7">
        <f t="shared" si="16"/>
        <v>0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9">
        <f t="shared" si="8"/>
        <v>292</v>
      </c>
      <c r="T100" s="10">
        <f t="shared" si="9"/>
        <v>0</v>
      </c>
      <c r="U100" s="10"/>
    </row>
    <row r="101" spans="1:21">
      <c r="A101" s="6"/>
      <c r="B101" s="11" t="s">
        <v>40</v>
      </c>
      <c r="C101" s="7" t="s">
        <v>41</v>
      </c>
      <c r="D101" s="7"/>
      <c r="E101" s="7"/>
      <c r="F101" s="7">
        <f t="shared" si="17"/>
        <v>0</v>
      </c>
      <c r="G101" s="8"/>
      <c r="H101" s="7">
        <f t="shared" si="16"/>
        <v>0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9">
        <f t="shared" si="8"/>
        <v>0</v>
      </c>
      <c r="T101" s="10">
        <f t="shared" si="9"/>
        <v>0</v>
      </c>
      <c r="U101" s="10"/>
    </row>
    <row r="102" spans="1:21">
      <c r="A102" s="6"/>
      <c r="B102" s="11" t="s">
        <v>42</v>
      </c>
      <c r="C102" s="7" t="s">
        <v>41</v>
      </c>
      <c r="D102" s="7"/>
      <c r="E102" s="7"/>
      <c r="F102" s="7">
        <f t="shared" si="17"/>
        <v>53</v>
      </c>
      <c r="G102" s="8"/>
      <c r="H102" s="7">
        <f t="shared" si="16"/>
        <v>0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9">
        <f t="shared" si="8"/>
        <v>53</v>
      </c>
      <c r="T102" s="10">
        <f t="shared" si="9"/>
        <v>0</v>
      </c>
      <c r="U102" s="10"/>
    </row>
    <row r="103" spans="1:21">
      <c r="A103" s="6"/>
      <c r="B103" s="11" t="s">
        <v>43</v>
      </c>
      <c r="C103" s="7" t="s">
        <v>41</v>
      </c>
      <c r="D103" s="7"/>
      <c r="E103" s="7"/>
      <c r="F103" s="7">
        <f t="shared" si="17"/>
        <v>0</v>
      </c>
      <c r="G103" s="8"/>
      <c r="H103" s="7">
        <f t="shared" si="16"/>
        <v>0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9">
        <f t="shared" si="8"/>
        <v>0</v>
      </c>
      <c r="T103" s="10">
        <f t="shared" si="9"/>
        <v>0</v>
      </c>
      <c r="U103" s="10"/>
    </row>
    <row r="104" spans="1:21">
      <c r="A104" s="6"/>
      <c r="B104" s="11" t="s">
        <v>44</v>
      </c>
      <c r="C104" s="7" t="s">
        <v>41</v>
      </c>
      <c r="D104" s="7"/>
      <c r="E104" s="7"/>
      <c r="F104" s="7">
        <f t="shared" si="17"/>
        <v>75</v>
      </c>
      <c r="G104" s="8"/>
      <c r="H104" s="7">
        <f t="shared" si="16"/>
        <v>0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9">
        <f t="shared" si="8"/>
        <v>75</v>
      </c>
      <c r="T104" s="10">
        <f t="shared" si="9"/>
        <v>0</v>
      </c>
      <c r="U104" s="10"/>
    </row>
    <row r="105" spans="1:21">
      <c r="A105" s="6"/>
      <c r="B105" s="11" t="s">
        <v>45</v>
      </c>
      <c r="C105" s="7" t="s">
        <v>41</v>
      </c>
      <c r="D105" s="7"/>
      <c r="E105" s="7"/>
      <c r="F105" s="7">
        <f t="shared" si="17"/>
        <v>0</v>
      </c>
      <c r="G105" s="8"/>
      <c r="H105" s="7">
        <f t="shared" si="16"/>
        <v>0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9">
        <f t="shared" si="8"/>
        <v>0</v>
      </c>
      <c r="T105" s="10">
        <f t="shared" si="9"/>
        <v>0</v>
      </c>
      <c r="U105" s="10"/>
    </row>
    <row r="106" spans="1:21">
      <c r="A106" s="6"/>
      <c r="B106" s="11" t="s">
        <v>46</v>
      </c>
      <c r="C106" s="7" t="s">
        <v>41</v>
      </c>
      <c r="D106" s="7"/>
      <c r="E106" s="7"/>
      <c r="F106" s="7">
        <f t="shared" si="17"/>
        <v>17</v>
      </c>
      <c r="G106" s="8"/>
      <c r="H106" s="7">
        <f t="shared" si="16"/>
        <v>0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9">
        <f t="shared" si="8"/>
        <v>17</v>
      </c>
      <c r="T106" s="10">
        <f t="shared" si="9"/>
        <v>0</v>
      </c>
      <c r="U106" s="10"/>
    </row>
    <row r="107" spans="1:21">
      <c r="A107" s="6"/>
      <c r="B107" s="11" t="s">
        <v>47</v>
      </c>
      <c r="C107" s="7" t="s">
        <v>26</v>
      </c>
      <c r="D107" s="7"/>
      <c r="E107" s="7"/>
      <c r="F107" s="7">
        <f t="shared" si="17"/>
        <v>12</v>
      </c>
      <c r="G107" s="8"/>
      <c r="H107" s="7">
        <f t="shared" si="16"/>
        <v>0</v>
      </c>
      <c r="I107" s="7"/>
      <c r="J107" s="7"/>
      <c r="K107" s="7"/>
      <c r="L107" s="7"/>
      <c r="M107" s="7"/>
      <c r="N107" s="7"/>
      <c r="O107" s="7">
        <v>386</v>
      </c>
      <c r="P107" s="7"/>
      <c r="Q107" s="7"/>
      <c r="R107" s="7"/>
      <c r="S107" s="9">
        <f t="shared" si="8"/>
        <v>398</v>
      </c>
      <c r="T107" s="10">
        <f t="shared" si="9"/>
        <v>0</v>
      </c>
      <c r="U107" s="10"/>
    </row>
    <row r="108" spans="1:21">
      <c r="A108" s="6"/>
      <c r="B108" s="11" t="s">
        <v>48</v>
      </c>
      <c r="C108" s="7" t="s">
        <v>26</v>
      </c>
      <c r="D108" s="7"/>
      <c r="E108" s="7"/>
      <c r="F108" s="7">
        <f t="shared" si="17"/>
        <v>52512</v>
      </c>
      <c r="G108" s="8"/>
      <c r="H108" s="7">
        <f t="shared" si="16"/>
        <v>0</v>
      </c>
      <c r="I108" s="7"/>
      <c r="J108" s="7">
        <v>1350</v>
      </c>
      <c r="K108" s="7">
        <v>450</v>
      </c>
      <c r="L108" s="7"/>
      <c r="M108" s="7">
        <v>79</v>
      </c>
      <c r="N108" s="7"/>
      <c r="O108" s="7"/>
      <c r="P108" s="7"/>
      <c r="Q108" s="7"/>
      <c r="R108" s="7"/>
      <c r="S108" s="9">
        <f t="shared" si="8"/>
        <v>50791</v>
      </c>
      <c r="T108" s="10">
        <f t="shared" si="9"/>
        <v>0</v>
      </c>
      <c r="U108" s="10" t="s">
        <v>104</v>
      </c>
    </row>
    <row r="109" spans="1:21">
      <c r="A109" s="6"/>
      <c r="B109" s="11" t="s">
        <v>50</v>
      </c>
      <c r="C109" s="7" t="s">
        <v>26</v>
      </c>
      <c r="D109" s="7"/>
      <c r="E109" s="7"/>
      <c r="F109" s="7">
        <f t="shared" si="17"/>
        <v>0</v>
      </c>
      <c r="G109" s="8"/>
      <c r="H109" s="7">
        <f t="shared" si="16"/>
        <v>0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9">
        <f t="shared" si="8"/>
        <v>0</v>
      </c>
      <c r="T109" s="10">
        <f t="shared" si="9"/>
        <v>0</v>
      </c>
      <c r="U109" s="10"/>
    </row>
    <row r="110" spans="1:21">
      <c r="A110" s="6"/>
      <c r="B110" s="11" t="s">
        <v>51</v>
      </c>
      <c r="C110" s="7" t="s">
        <v>26</v>
      </c>
      <c r="D110" s="7"/>
      <c r="E110" s="7"/>
      <c r="F110" s="7">
        <f t="shared" si="17"/>
        <v>300</v>
      </c>
      <c r="G110" s="8"/>
      <c r="H110" s="7">
        <f t="shared" si="16"/>
        <v>0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9">
        <f t="shared" si="8"/>
        <v>300</v>
      </c>
      <c r="T110" s="10">
        <f t="shared" si="9"/>
        <v>0</v>
      </c>
      <c r="U110" s="10"/>
    </row>
    <row r="111" spans="1:21">
      <c r="A111" s="6"/>
      <c r="B111" s="11" t="s">
        <v>52</v>
      </c>
      <c r="C111" s="7" t="s">
        <v>26</v>
      </c>
      <c r="D111" s="7"/>
      <c r="E111" s="7"/>
      <c r="F111" s="7">
        <f t="shared" si="17"/>
        <v>16894</v>
      </c>
      <c r="G111" s="8"/>
      <c r="H111" s="7">
        <f t="shared" si="16"/>
        <v>0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9">
        <f t="shared" si="8"/>
        <v>16894</v>
      </c>
      <c r="T111" s="10">
        <f t="shared" si="9"/>
        <v>0</v>
      </c>
      <c r="U111" s="10"/>
    </row>
    <row r="112" spans="1:21">
      <c r="A112" s="6"/>
      <c r="B112" s="11" t="s">
        <v>53</v>
      </c>
      <c r="C112" s="7" t="s">
        <v>54</v>
      </c>
      <c r="D112" s="7"/>
      <c r="E112" s="7"/>
      <c r="F112" s="7">
        <f t="shared" si="17"/>
        <v>0</v>
      </c>
      <c r="G112" s="8"/>
      <c r="H112" s="7">
        <f t="shared" si="16"/>
        <v>0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9">
        <f t="shared" si="8"/>
        <v>0</v>
      </c>
      <c r="T112" s="10">
        <f t="shared" si="9"/>
        <v>0</v>
      </c>
      <c r="U112" s="10"/>
    </row>
    <row r="113" spans="1:21">
      <c r="A113" s="6"/>
      <c r="B113" s="11" t="s">
        <v>55</v>
      </c>
      <c r="C113" s="7" t="s">
        <v>54</v>
      </c>
      <c r="D113" s="7"/>
      <c r="E113" s="7"/>
      <c r="F113" s="7">
        <f t="shared" si="17"/>
        <v>15</v>
      </c>
      <c r="G113" s="8"/>
      <c r="H113" s="7">
        <f t="shared" si="16"/>
        <v>0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9">
        <f t="shared" si="8"/>
        <v>15</v>
      </c>
      <c r="T113" s="10">
        <f t="shared" si="9"/>
        <v>0</v>
      </c>
      <c r="U113" s="10"/>
    </row>
    <row r="114" spans="1:21">
      <c r="A114" s="6"/>
      <c r="B114" s="11" t="s">
        <v>56</v>
      </c>
      <c r="C114" s="7" t="s">
        <v>54</v>
      </c>
      <c r="D114" s="7"/>
      <c r="E114" s="7"/>
      <c r="F114" s="7">
        <f t="shared" si="17"/>
        <v>1740</v>
      </c>
      <c r="G114" s="8"/>
      <c r="H114" s="7">
        <f t="shared" si="16"/>
        <v>0</v>
      </c>
      <c r="I114" s="7"/>
      <c r="J114" s="7">
        <v>180</v>
      </c>
      <c r="K114" s="7"/>
      <c r="L114" s="7"/>
      <c r="M114" s="7"/>
      <c r="N114" s="7"/>
      <c r="O114" s="7"/>
      <c r="P114" s="7"/>
      <c r="Q114" s="7"/>
      <c r="R114" s="7"/>
      <c r="S114" s="9">
        <f t="shared" si="8"/>
        <v>1560</v>
      </c>
      <c r="T114" s="10">
        <f t="shared" si="9"/>
        <v>0</v>
      </c>
      <c r="U114" s="10"/>
    </row>
    <row r="115" spans="1:21">
      <c r="A115" s="6"/>
      <c r="B115" s="11" t="s">
        <v>57</v>
      </c>
      <c r="C115" s="7" t="s">
        <v>54</v>
      </c>
      <c r="D115" s="7"/>
      <c r="E115" s="7"/>
      <c r="F115" s="7">
        <f t="shared" si="17"/>
        <v>319</v>
      </c>
      <c r="G115" s="8"/>
      <c r="H115" s="7">
        <f t="shared" si="16"/>
        <v>0</v>
      </c>
      <c r="I115" s="7"/>
      <c r="J115" s="7"/>
      <c r="K115" s="7"/>
      <c r="L115" s="7"/>
      <c r="M115" s="7">
        <v>36</v>
      </c>
      <c r="N115" s="7"/>
      <c r="O115" s="7"/>
      <c r="P115" s="7"/>
      <c r="Q115" s="7"/>
      <c r="R115" s="7"/>
      <c r="S115" s="9">
        <f t="shared" si="8"/>
        <v>355</v>
      </c>
      <c r="T115" s="10">
        <f t="shared" si="9"/>
        <v>0</v>
      </c>
      <c r="U115" s="10"/>
    </row>
    <row r="116" spans="1:21">
      <c r="A116" s="6"/>
      <c r="B116" s="11" t="s">
        <v>58</v>
      </c>
      <c r="C116" s="7" t="s">
        <v>54</v>
      </c>
      <c r="D116" s="7"/>
      <c r="E116" s="7"/>
      <c r="F116" s="7">
        <f t="shared" si="17"/>
        <v>0</v>
      </c>
      <c r="G116" s="8"/>
      <c r="H116" s="7">
        <f t="shared" si="16"/>
        <v>0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9">
        <f t="shared" si="8"/>
        <v>0</v>
      </c>
      <c r="T116" s="10">
        <f t="shared" si="9"/>
        <v>0</v>
      </c>
      <c r="U116" s="10"/>
    </row>
    <row r="117" spans="1:21">
      <c r="A117" s="6"/>
      <c r="B117" s="11" t="s">
        <v>59</v>
      </c>
      <c r="C117" s="7" t="s">
        <v>54</v>
      </c>
      <c r="D117" s="7"/>
      <c r="E117" s="7"/>
      <c r="F117" s="7">
        <f t="shared" si="17"/>
        <v>19</v>
      </c>
      <c r="G117" s="8"/>
      <c r="H117" s="7">
        <f t="shared" si="16"/>
        <v>0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9">
        <f t="shared" si="8"/>
        <v>19</v>
      </c>
      <c r="T117" s="10">
        <f t="shared" si="9"/>
        <v>0</v>
      </c>
      <c r="U117" s="10"/>
    </row>
    <row r="118" spans="1:21">
      <c r="A118" s="6"/>
      <c r="B118" s="11" t="s">
        <v>60</v>
      </c>
      <c r="C118" s="7" t="s">
        <v>61</v>
      </c>
      <c r="D118" s="7"/>
      <c r="E118" s="7"/>
      <c r="F118" s="7">
        <f t="shared" si="17"/>
        <v>0</v>
      </c>
      <c r="G118" s="8"/>
      <c r="H118" s="7">
        <f t="shared" si="16"/>
        <v>0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9">
        <f t="shared" si="8"/>
        <v>0</v>
      </c>
      <c r="T118" s="10">
        <f t="shared" si="9"/>
        <v>0</v>
      </c>
      <c r="U118" s="10"/>
    </row>
    <row r="119" spans="1:21">
      <c r="A119" s="6"/>
      <c r="B119" s="11" t="s">
        <v>62</v>
      </c>
      <c r="C119" s="7" t="s">
        <v>61</v>
      </c>
      <c r="D119" s="7"/>
      <c r="E119" s="7"/>
      <c r="F119" s="7">
        <f t="shared" si="17"/>
        <v>11</v>
      </c>
      <c r="G119" s="8"/>
      <c r="H119" s="7">
        <f t="shared" si="16"/>
        <v>0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9">
        <f t="shared" si="8"/>
        <v>11</v>
      </c>
      <c r="T119" s="10">
        <f t="shared" si="9"/>
        <v>0</v>
      </c>
      <c r="U119" s="10"/>
    </row>
    <row r="120" spans="1:21">
      <c r="A120" s="6"/>
      <c r="B120" s="10" t="s">
        <v>63</v>
      </c>
      <c r="C120" s="10" t="s">
        <v>41</v>
      </c>
      <c r="D120" s="7"/>
      <c r="E120" s="7"/>
      <c r="F120" s="7">
        <f t="shared" si="17"/>
        <v>0</v>
      </c>
      <c r="G120" s="8"/>
      <c r="H120" s="7">
        <f t="shared" si="16"/>
        <v>0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9">
        <f t="shared" si="8"/>
        <v>0</v>
      </c>
      <c r="T120" s="10">
        <f t="shared" si="9"/>
        <v>0</v>
      </c>
      <c r="U120" s="10"/>
    </row>
    <row r="121" spans="1:21">
      <c r="A121" s="6"/>
      <c r="B121" s="10" t="s">
        <v>64</v>
      </c>
      <c r="C121" s="10" t="s">
        <v>41</v>
      </c>
      <c r="D121" s="7"/>
      <c r="E121" s="7"/>
      <c r="F121" s="7">
        <f t="shared" si="17"/>
        <v>5</v>
      </c>
      <c r="G121" s="8"/>
      <c r="H121" s="7">
        <f t="shared" si="16"/>
        <v>0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9">
        <f t="shared" si="8"/>
        <v>5</v>
      </c>
      <c r="T121" s="10">
        <f t="shared" si="9"/>
        <v>0</v>
      </c>
      <c r="U121" s="10"/>
    </row>
    <row r="122" spans="1:21">
      <c r="A122" s="6"/>
      <c r="B122" s="11" t="s">
        <v>65</v>
      </c>
      <c r="C122" s="7" t="s">
        <v>26</v>
      </c>
      <c r="D122" s="7"/>
      <c r="E122" s="7"/>
      <c r="F122" s="7">
        <f t="shared" si="17"/>
        <v>0</v>
      </c>
      <c r="G122" s="8"/>
      <c r="H122" s="7">
        <f t="shared" si="16"/>
        <v>0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9">
        <f t="shared" si="8"/>
        <v>0</v>
      </c>
      <c r="T122" s="10">
        <f t="shared" si="9"/>
        <v>0</v>
      </c>
      <c r="U122" s="10"/>
    </row>
    <row r="123" spans="1:21">
      <c r="A123" s="6"/>
      <c r="B123" s="11" t="s">
        <v>66</v>
      </c>
      <c r="C123" s="7" t="s">
        <v>26</v>
      </c>
      <c r="D123" s="7"/>
      <c r="E123" s="7"/>
      <c r="F123" s="7">
        <f t="shared" ref="F123:F140" si="18">S38</f>
        <v>71</v>
      </c>
      <c r="G123" s="8"/>
      <c r="H123" s="7">
        <f t="shared" si="16"/>
        <v>0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9">
        <f t="shared" ref="S123:S182" si="19">F123+G123-J123-K123-L123+M123+O123-P123-R123</f>
        <v>71</v>
      </c>
      <c r="T123" s="10">
        <f t="shared" ref="T123:T182" si="20">H123+I123+N123+R123-Q123</f>
        <v>0</v>
      </c>
      <c r="U123" s="10"/>
    </row>
    <row r="124" spans="1:21">
      <c r="A124" s="6"/>
      <c r="B124" s="11" t="s">
        <v>67</v>
      </c>
      <c r="C124" s="7" t="s">
        <v>26</v>
      </c>
      <c r="D124" s="7"/>
      <c r="E124" s="7"/>
      <c r="F124" s="7">
        <f t="shared" si="18"/>
        <v>0</v>
      </c>
      <c r="G124" s="8"/>
      <c r="H124" s="7">
        <f t="shared" si="16"/>
        <v>0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9">
        <f t="shared" si="19"/>
        <v>0</v>
      </c>
      <c r="T124" s="10">
        <f t="shared" si="20"/>
        <v>0</v>
      </c>
      <c r="U124" s="10"/>
    </row>
    <row r="125" spans="1:21">
      <c r="A125" s="6"/>
      <c r="B125" s="11" t="s">
        <v>68</v>
      </c>
      <c r="C125" s="7" t="s">
        <v>26</v>
      </c>
      <c r="D125" s="7"/>
      <c r="E125" s="7"/>
      <c r="F125" s="7">
        <f t="shared" si="18"/>
        <v>7</v>
      </c>
      <c r="G125" s="8"/>
      <c r="H125" s="7">
        <f t="shared" si="16"/>
        <v>0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9">
        <f t="shared" si="19"/>
        <v>7</v>
      </c>
      <c r="T125" s="10">
        <f t="shared" si="20"/>
        <v>0</v>
      </c>
      <c r="U125" s="10"/>
    </row>
    <row r="126" spans="1:21">
      <c r="A126" s="6"/>
      <c r="B126" s="11" t="s">
        <v>69</v>
      </c>
      <c r="C126" s="7" t="s">
        <v>41</v>
      </c>
      <c r="D126" s="7"/>
      <c r="E126" s="7"/>
      <c r="F126" s="7">
        <f t="shared" si="18"/>
        <v>0</v>
      </c>
      <c r="G126" s="8"/>
      <c r="H126" s="7">
        <f t="shared" si="16"/>
        <v>0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9">
        <f t="shared" si="19"/>
        <v>0</v>
      </c>
      <c r="T126" s="10">
        <f t="shared" si="20"/>
        <v>0</v>
      </c>
      <c r="U126" s="10"/>
    </row>
    <row r="127" spans="1:21">
      <c r="A127" s="6"/>
      <c r="B127" s="11" t="s">
        <v>70</v>
      </c>
      <c r="C127" s="7" t="s">
        <v>41</v>
      </c>
      <c r="D127" s="7"/>
      <c r="E127" s="7"/>
      <c r="F127" s="7">
        <f t="shared" si="18"/>
        <v>13</v>
      </c>
      <c r="G127" s="8"/>
      <c r="H127" s="7">
        <f t="shared" si="16"/>
        <v>0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9">
        <f t="shared" si="19"/>
        <v>13</v>
      </c>
      <c r="T127" s="10">
        <f t="shared" si="20"/>
        <v>0</v>
      </c>
      <c r="U127" s="10"/>
    </row>
    <row r="128" spans="1:21">
      <c r="A128" s="6"/>
      <c r="B128" s="11" t="s">
        <v>71</v>
      </c>
      <c r="C128" s="7" t="s">
        <v>61</v>
      </c>
      <c r="D128" s="7"/>
      <c r="E128" s="7"/>
      <c r="F128" s="7">
        <f t="shared" si="18"/>
        <v>0</v>
      </c>
      <c r="G128" s="8"/>
      <c r="H128" s="7">
        <f t="shared" si="16"/>
        <v>0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9">
        <f t="shared" si="19"/>
        <v>0</v>
      </c>
      <c r="T128" s="10">
        <f t="shared" si="20"/>
        <v>0</v>
      </c>
      <c r="U128" s="10"/>
    </row>
    <row r="129" spans="1:21">
      <c r="A129" s="6"/>
      <c r="B129" s="11" t="s">
        <v>72</v>
      </c>
      <c r="C129" s="7" t="s">
        <v>61</v>
      </c>
      <c r="D129" s="7"/>
      <c r="E129" s="7"/>
      <c r="F129" s="7">
        <f t="shared" si="18"/>
        <v>8</v>
      </c>
      <c r="G129" s="8"/>
      <c r="H129" s="7">
        <f t="shared" si="16"/>
        <v>0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9">
        <f t="shared" si="19"/>
        <v>8</v>
      </c>
      <c r="T129" s="10">
        <f t="shared" si="20"/>
        <v>0</v>
      </c>
      <c r="U129" s="10"/>
    </row>
    <row r="130" spans="1:21">
      <c r="A130" s="6"/>
      <c r="B130" s="11" t="s">
        <v>73</v>
      </c>
      <c r="C130" s="7" t="s">
        <v>26</v>
      </c>
      <c r="D130" s="7"/>
      <c r="E130" s="7"/>
      <c r="F130" s="7">
        <f t="shared" si="18"/>
        <v>0</v>
      </c>
      <c r="G130" s="8"/>
      <c r="H130" s="7">
        <f t="shared" si="16"/>
        <v>0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9">
        <f t="shared" si="19"/>
        <v>0</v>
      </c>
      <c r="T130" s="10">
        <f t="shared" si="20"/>
        <v>0</v>
      </c>
      <c r="U130" s="10"/>
    </row>
    <row r="131" spans="1:21">
      <c r="A131" s="6"/>
      <c r="B131" s="11" t="s">
        <v>74</v>
      </c>
      <c r="C131" s="7" t="s">
        <v>26</v>
      </c>
      <c r="D131" s="7"/>
      <c r="E131" s="7"/>
      <c r="F131" s="7">
        <f t="shared" si="18"/>
        <v>294</v>
      </c>
      <c r="G131" s="8"/>
      <c r="H131" s="7">
        <f t="shared" si="16"/>
        <v>0</v>
      </c>
      <c r="I131" s="7"/>
      <c r="J131" s="7"/>
      <c r="K131" s="7"/>
      <c r="L131" s="7"/>
      <c r="M131" s="7"/>
      <c r="N131" s="7"/>
      <c r="O131" s="7">
        <v>86</v>
      </c>
      <c r="P131" s="7"/>
      <c r="Q131" s="7"/>
      <c r="R131" s="7"/>
      <c r="S131" s="9">
        <f t="shared" si="19"/>
        <v>380</v>
      </c>
      <c r="T131" s="10">
        <f t="shared" si="20"/>
        <v>0</v>
      </c>
      <c r="U131" s="10"/>
    </row>
    <row r="132" spans="1:21">
      <c r="A132" s="6"/>
      <c r="B132" s="11" t="s">
        <v>75</v>
      </c>
      <c r="C132" s="7" t="s">
        <v>26</v>
      </c>
      <c r="D132" s="7"/>
      <c r="E132" s="7"/>
      <c r="F132" s="7">
        <f t="shared" si="18"/>
        <v>0</v>
      </c>
      <c r="G132" s="8"/>
      <c r="H132" s="7">
        <f t="shared" si="16"/>
        <v>0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9">
        <f t="shared" si="19"/>
        <v>0</v>
      </c>
      <c r="T132" s="10">
        <f t="shared" si="20"/>
        <v>0</v>
      </c>
      <c r="U132" s="10"/>
    </row>
    <row r="133" spans="1:21">
      <c r="A133" s="6"/>
      <c r="B133" s="11" t="s">
        <v>76</v>
      </c>
      <c r="C133" s="7" t="s">
        <v>26</v>
      </c>
      <c r="D133" s="7"/>
      <c r="E133" s="7"/>
      <c r="F133" s="7">
        <f t="shared" si="18"/>
        <v>247</v>
      </c>
      <c r="G133" s="8"/>
      <c r="H133" s="7">
        <f t="shared" si="16"/>
        <v>0</v>
      </c>
      <c r="I133" s="7"/>
      <c r="J133" s="7"/>
      <c r="K133" s="7"/>
      <c r="L133" s="7"/>
      <c r="M133" s="7">
        <v>23</v>
      </c>
      <c r="N133" s="7"/>
      <c r="O133" s="7">
        <v>5</v>
      </c>
      <c r="P133" s="7"/>
      <c r="Q133" s="7"/>
      <c r="R133" s="7"/>
      <c r="S133" s="9">
        <f t="shared" si="19"/>
        <v>275</v>
      </c>
      <c r="T133" s="10">
        <f t="shared" si="20"/>
        <v>0</v>
      </c>
      <c r="U133" s="10"/>
    </row>
    <row r="134" spans="1:21">
      <c r="A134" s="6"/>
      <c r="B134" s="11" t="s">
        <v>77</v>
      </c>
      <c r="C134" s="7" t="s">
        <v>61</v>
      </c>
      <c r="D134" s="7"/>
      <c r="E134" s="7"/>
      <c r="F134" s="7">
        <f t="shared" si="18"/>
        <v>0</v>
      </c>
      <c r="G134" s="8"/>
      <c r="H134" s="7">
        <f t="shared" si="16"/>
        <v>0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9">
        <f t="shared" si="19"/>
        <v>0</v>
      </c>
      <c r="T134" s="10">
        <f t="shared" si="20"/>
        <v>0</v>
      </c>
      <c r="U134" s="10"/>
    </row>
    <row r="135" spans="1:21">
      <c r="A135" s="6"/>
      <c r="B135" s="11" t="s">
        <v>78</v>
      </c>
      <c r="C135" s="7" t="s">
        <v>61</v>
      </c>
      <c r="D135" s="7"/>
      <c r="E135" s="7"/>
      <c r="F135" s="7">
        <f t="shared" si="18"/>
        <v>69</v>
      </c>
      <c r="G135" s="8"/>
      <c r="H135" s="7">
        <f t="shared" si="16"/>
        <v>0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9">
        <f t="shared" si="19"/>
        <v>69</v>
      </c>
      <c r="T135" s="10">
        <f t="shared" si="20"/>
        <v>0</v>
      </c>
      <c r="U135" s="10"/>
    </row>
    <row r="136" spans="1:21">
      <c r="A136" s="6"/>
      <c r="B136" s="11" t="s">
        <v>105</v>
      </c>
      <c r="C136" s="7" t="s">
        <v>26</v>
      </c>
      <c r="D136" s="7"/>
      <c r="E136" s="7"/>
      <c r="F136" s="7">
        <f t="shared" si="18"/>
        <v>1144</v>
      </c>
      <c r="G136" s="8"/>
      <c r="H136" s="7">
        <f t="shared" si="16"/>
        <v>0</v>
      </c>
      <c r="I136" s="7"/>
      <c r="J136" s="7">
        <v>75</v>
      </c>
      <c r="K136" s="7"/>
      <c r="L136" s="7"/>
      <c r="M136" s="7">
        <v>1</v>
      </c>
      <c r="N136" s="7"/>
      <c r="O136" s="7"/>
      <c r="P136" s="7"/>
      <c r="Q136" s="7"/>
      <c r="R136" s="7"/>
      <c r="S136" s="9">
        <f t="shared" si="19"/>
        <v>1070</v>
      </c>
      <c r="T136" s="10">
        <f t="shared" si="20"/>
        <v>0</v>
      </c>
      <c r="U136" s="10"/>
    </row>
    <row r="137" spans="1:21">
      <c r="A137" s="6"/>
      <c r="B137" s="11" t="s">
        <v>80</v>
      </c>
      <c r="C137" s="7" t="s">
        <v>26</v>
      </c>
      <c r="D137" s="7"/>
      <c r="E137" s="7"/>
      <c r="F137" s="7">
        <f t="shared" si="18"/>
        <v>448</v>
      </c>
      <c r="G137" s="8"/>
      <c r="H137" s="7">
        <f t="shared" si="16"/>
        <v>0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9">
        <f t="shared" si="19"/>
        <v>448</v>
      </c>
      <c r="T137" s="10">
        <f t="shared" si="20"/>
        <v>0</v>
      </c>
      <c r="U137" s="10"/>
    </row>
    <row r="138" spans="1:21">
      <c r="A138" s="6"/>
      <c r="B138" s="11" t="s">
        <v>81</v>
      </c>
      <c r="C138" s="7" t="s">
        <v>26</v>
      </c>
      <c r="D138" s="7"/>
      <c r="E138" s="7"/>
      <c r="F138" s="7">
        <f t="shared" si="18"/>
        <v>0</v>
      </c>
      <c r="G138" s="8"/>
      <c r="H138" s="7">
        <f t="shared" si="16"/>
        <v>0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9">
        <f t="shared" si="19"/>
        <v>0</v>
      </c>
      <c r="T138" s="10">
        <f t="shared" si="20"/>
        <v>0</v>
      </c>
      <c r="U138" s="10"/>
    </row>
    <row r="139" spans="1:21">
      <c r="A139" s="6"/>
      <c r="B139" s="11" t="s">
        <v>82</v>
      </c>
      <c r="C139" s="7" t="s">
        <v>26</v>
      </c>
      <c r="D139" s="7"/>
      <c r="E139" s="7"/>
      <c r="F139" s="7">
        <f t="shared" ref="F139:F151" si="21">S54</f>
        <v>14</v>
      </c>
      <c r="G139" s="8"/>
      <c r="H139" s="7">
        <f t="shared" si="16"/>
        <v>0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9">
        <f t="shared" si="19"/>
        <v>14</v>
      </c>
      <c r="T139" s="10">
        <f t="shared" si="20"/>
        <v>0</v>
      </c>
      <c r="U139" s="10"/>
    </row>
    <row r="140" spans="1:21">
      <c r="A140" s="6"/>
      <c r="B140" s="11" t="s">
        <v>83</v>
      </c>
      <c r="C140" s="7" t="s">
        <v>26</v>
      </c>
      <c r="D140" s="7"/>
      <c r="E140" s="7"/>
      <c r="F140" s="7">
        <f t="shared" si="21"/>
        <v>0</v>
      </c>
      <c r="G140" s="8"/>
      <c r="H140" s="7">
        <f t="shared" si="16"/>
        <v>0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9">
        <f t="shared" si="19"/>
        <v>0</v>
      </c>
      <c r="T140" s="10">
        <f t="shared" si="20"/>
        <v>0</v>
      </c>
      <c r="U140" s="10"/>
    </row>
    <row r="141" spans="1:21">
      <c r="A141" s="6"/>
      <c r="B141" s="11" t="s">
        <v>84</v>
      </c>
      <c r="C141" s="7" t="s">
        <v>26</v>
      </c>
      <c r="D141" s="7"/>
      <c r="E141" s="7"/>
      <c r="F141" s="7">
        <f t="shared" si="21"/>
        <v>28</v>
      </c>
      <c r="G141" s="8"/>
      <c r="H141" s="7">
        <f t="shared" si="16"/>
        <v>0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9">
        <f t="shared" si="19"/>
        <v>28</v>
      </c>
      <c r="T141" s="10">
        <f t="shared" si="20"/>
        <v>0</v>
      </c>
      <c r="U141" s="10"/>
    </row>
    <row r="142" spans="1:21">
      <c r="A142" s="6"/>
      <c r="B142" s="11" t="s">
        <v>85</v>
      </c>
      <c r="C142" s="7" t="s">
        <v>61</v>
      </c>
      <c r="D142" s="7"/>
      <c r="E142" s="7"/>
      <c r="F142" s="7">
        <f t="shared" si="21"/>
        <v>0</v>
      </c>
      <c r="G142" s="8"/>
      <c r="H142" s="7">
        <f t="shared" si="16"/>
        <v>0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9">
        <f t="shared" si="19"/>
        <v>0</v>
      </c>
      <c r="T142" s="10">
        <f t="shared" si="20"/>
        <v>0</v>
      </c>
      <c r="U142" s="10"/>
    </row>
    <row r="143" spans="1:21">
      <c r="A143" s="6"/>
      <c r="B143" s="11" t="s">
        <v>86</v>
      </c>
      <c r="C143" s="7" t="s">
        <v>61</v>
      </c>
      <c r="D143" s="7"/>
      <c r="E143" s="7"/>
      <c r="F143" s="7">
        <f t="shared" si="21"/>
        <v>10</v>
      </c>
      <c r="G143" s="8"/>
      <c r="H143" s="7">
        <f t="shared" si="16"/>
        <v>0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9">
        <f t="shared" si="19"/>
        <v>10</v>
      </c>
      <c r="T143" s="10">
        <f t="shared" si="20"/>
        <v>0</v>
      </c>
      <c r="U143" s="10"/>
    </row>
    <row r="144" spans="1:21">
      <c r="A144" s="6"/>
      <c r="B144" s="11" t="s">
        <v>87</v>
      </c>
      <c r="C144" s="7" t="s">
        <v>26</v>
      </c>
      <c r="D144" s="7"/>
      <c r="E144" s="7"/>
      <c r="F144" s="7">
        <f t="shared" si="21"/>
        <v>36</v>
      </c>
      <c r="G144" s="8"/>
      <c r="H144" s="7">
        <f t="shared" si="16"/>
        <v>0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9">
        <f t="shared" si="19"/>
        <v>36</v>
      </c>
      <c r="T144" s="10">
        <f t="shared" si="20"/>
        <v>0</v>
      </c>
      <c r="U144" s="10"/>
    </row>
    <row r="145" spans="1:21">
      <c r="A145" s="6"/>
      <c r="B145" s="11" t="s">
        <v>88</v>
      </c>
      <c r="C145" s="10"/>
      <c r="D145" s="7"/>
      <c r="E145" s="7"/>
      <c r="F145" s="7">
        <f t="shared" si="21"/>
        <v>341</v>
      </c>
      <c r="G145" s="8"/>
      <c r="H145" s="7">
        <f t="shared" si="16"/>
        <v>0</v>
      </c>
      <c r="I145" s="7"/>
      <c r="J145" s="7">
        <v>74</v>
      </c>
      <c r="K145" s="7"/>
      <c r="L145" s="7"/>
      <c r="M145" s="7"/>
      <c r="N145" s="7"/>
      <c r="O145" s="7"/>
      <c r="P145" s="7"/>
      <c r="Q145" s="7"/>
      <c r="R145" s="7"/>
      <c r="S145" s="9">
        <f t="shared" si="19"/>
        <v>267</v>
      </c>
      <c r="T145" s="10">
        <f t="shared" si="20"/>
        <v>0</v>
      </c>
      <c r="U145" s="10"/>
    </row>
    <row r="146" spans="1:21">
      <c r="A146" s="6"/>
      <c r="B146" s="11" t="s">
        <v>89</v>
      </c>
      <c r="C146" s="7" t="s">
        <v>26</v>
      </c>
      <c r="D146" s="7"/>
      <c r="E146" s="7"/>
      <c r="F146" s="7">
        <f t="shared" si="21"/>
        <v>642</v>
      </c>
      <c r="G146" s="8"/>
      <c r="H146" s="7">
        <f t="shared" si="16"/>
        <v>0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9">
        <f t="shared" si="19"/>
        <v>642</v>
      </c>
      <c r="T146" s="10">
        <f t="shared" si="20"/>
        <v>0</v>
      </c>
      <c r="U146" s="10"/>
    </row>
    <row r="147" spans="1:21">
      <c r="A147" s="6"/>
      <c r="B147" s="11" t="s">
        <v>90</v>
      </c>
      <c r="C147" s="7" t="s">
        <v>26</v>
      </c>
      <c r="D147" s="7"/>
      <c r="E147" s="7"/>
      <c r="F147" s="7">
        <f t="shared" si="21"/>
        <v>0</v>
      </c>
      <c r="G147" s="8"/>
      <c r="H147" s="7">
        <f t="shared" si="16"/>
        <v>0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9">
        <f t="shared" si="19"/>
        <v>0</v>
      </c>
      <c r="T147" s="10">
        <f t="shared" si="20"/>
        <v>0</v>
      </c>
      <c r="U147" s="10"/>
    </row>
    <row r="148" spans="1:21">
      <c r="A148" s="6"/>
      <c r="B148" s="11" t="s">
        <v>91</v>
      </c>
      <c r="C148" s="7" t="s">
        <v>26</v>
      </c>
      <c r="D148" s="7"/>
      <c r="E148" s="7"/>
      <c r="F148" s="7">
        <f t="shared" ref="F148:F171" si="22">S63</f>
        <v>138</v>
      </c>
      <c r="G148" s="8"/>
      <c r="H148" s="7">
        <f t="shared" ref="H148:H207" si="23">T63</f>
        <v>0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9">
        <f t="shared" si="19"/>
        <v>138</v>
      </c>
      <c r="T148" s="10">
        <f t="shared" si="20"/>
        <v>0</v>
      </c>
      <c r="U148" s="10"/>
    </row>
    <row r="149" spans="1:21">
      <c r="A149" s="6"/>
      <c r="B149" s="12" t="s">
        <v>92</v>
      </c>
      <c r="C149" s="13" t="s">
        <v>26</v>
      </c>
      <c r="D149" s="7"/>
      <c r="E149" s="7"/>
      <c r="F149" s="7">
        <f t="shared" si="22"/>
        <v>108</v>
      </c>
      <c r="G149" s="8"/>
      <c r="H149" s="7">
        <f t="shared" si="23"/>
        <v>0</v>
      </c>
      <c r="I149" s="7"/>
      <c r="J149" s="7">
        <v>60</v>
      </c>
      <c r="K149" s="7"/>
      <c r="L149" s="7"/>
      <c r="M149" s="7"/>
      <c r="N149" s="7"/>
      <c r="O149" s="7"/>
      <c r="P149" s="7"/>
      <c r="Q149" s="7"/>
      <c r="R149" s="7"/>
      <c r="S149" s="9">
        <f t="shared" si="19"/>
        <v>48</v>
      </c>
      <c r="T149" s="10">
        <f t="shared" si="20"/>
        <v>0</v>
      </c>
      <c r="U149" s="10"/>
    </row>
    <row r="150" spans="1:21">
      <c r="A150" s="6"/>
      <c r="B150" s="12" t="s">
        <v>93</v>
      </c>
      <c r="C150" s="13" t="s">
        <v>26</v>
      </c>
      <c r="D150" s="7"/>
      <c r="E150" s="7"/>
      <c r="F150" s="7">
        <f t="shared" si="22"/>
        <v>2443</v>
      </c>
      <c r="G150" s="8"/>
      <c r="H150" s="7">
        <f t="shared" si="23"/>
        <v>0</v>
      </c>
      <c r="I150" s="7"/>
      <c r="J150" s="7"/>
      <c r="K150" s="7"/>
      <c r="L150" s="7"/>
      <c r="M150" s="7">
        <v>21</v>
      </c>
      <c r="N150" s="7"/>
      <c r="O150" s="7"/>
      <c r="P150" s="7"/>
      <c r="Q150" s="7"/>
      <c r="R150" s="7"/>
      <c r="S150" s="9">
        <f t="shared" si="19"/>
        <v>2464</v>
      </c>
      <c r="T150" s="10">
        <f t="shared" si="20"/>
        <v>0</v>
      </c>
      <c r="U150" s="10"/>
    </row>
    <row r="151" spans="1:21">
      <c r="A151" s="6"/>
      <c r="B151" s="11" t="s">
        <v>94</v>
      </c>
      <c r="C151" s="7" t="s">
        <v>41</v>
      </c>
      <c r="D151" s="7"/>
      <c r="E151" s="7"/>
      <c r="F151" s="7">
        <f t="shared" si="22"/>
        <v>0</v>
      </c>
      <c r="G151" s="8"/>
      <c r="H151" s="7">
        <f t="shared" si="23"/>
        <v>0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9">
        <f t="shared" si="19"/>
        <v>0</v>
      </c>
      <c r="T151" s="10">
        <f t="shared" si="20"/>
        <v>0</v>
      </c>
      <c r="U151" s="10"/>
    </row>
    <row r="152" spans="1:21">
      <c r="A152" s="6"/>
      <c r="B152" s="11" t="s">
        <v>95</v>
      </c>
      <c r="C152" s="7" t="s">
        <v>41</v>
      </c>
      <c r="D152" s="7"/>
      <c r="E152" s="7"/>
      <c r="F152" s="7">
        <f t="shared" si="22"/>
        <v>39</v>
      </c>
      <c r="G152" s="8"/>
      <c r="H152" s="7">
        <f t="shared" si="23"/>
        <v>0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9">
        <f t="shared" si="19"/>
        <v>39</v>
      </c>
      <c r="T152" s="10">
        <f t="shared" si="20"/>
        <v>0</v>
      </c>
      <c r="U152" s="10"/>
    </row>
    <row r="153" spans="1:21">
      <c r="A153" s="6"/>
      <c r="B153" s="11" t="s">
        <v>96</v>
      </c>
      <c r="C153" s="7" t="s">
        <v>41</v>
      </c>
      <c r="D153" s="7"/>
      <c r="E153" s="7"/>
      <c r="F153" s="7">
        <f t="shared" si="22"/>
        <v>0</v>
      </c>
      <c r="G153" s="8"/>
      <c r="H153" s="7">
        <f t="shared" si="23"/>
        <v>0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9">
        <f t="shared" si="19"/>
        <v>0</v>
      </c>
      <c r="T153" s="10">
        <f t="shared" si="20"/>
        <v>0</v>
      </c>
      <c r="U153" s="10"/>
    </row>
    <row r="154" spans="1:21">
      <c r="A154" s="6"/>
      <c r="B154" s="11" t="s">
        <v>97</v>
      </c>
      <c r="C154" s="7" t="s">
        <v>41</v>
      </c>
      <c r="D154" s="7"/>
      <c r="E154" s="7"/>
      <c r="F154" s="7">
        <f t="shared" si="22"/>
        <v>54</v>
      </c>
      <c r="G154" s="8"/>
      <c r="H154" s="7">
        <f t="shared" si="23"/>
        <v>0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9">
        <f t="shared" si="19"/>
        <v>54</v>
      </c>
      <c r="T154" s="10">
        <f t="shared" si="20"/>
        <v>0</v>
      </c>
      <c r="U154" s="10"/>
    </row>
    <row r="155" spans="1:21">
      <c r="A155" s="6"/>
      <c r="B155" s="11" t="s">
        <v>98</v>
      </c>
      <c r="C155" s="7" t="s">
        <v>26</v>
      </c>
      <c r="D155" s="7"/>
      <c r="E155" s="7"/>
      <c r="F155" s="7">
        <f t="shared" si="22"/>
        <v>912</v>
      </c>
      <c r="G155" s="8"/>
      <c r="H155" s="7">
        <f t="shared" si="23"/>
        <v>0</v>
      </c>
      <c r="I155" s="7"/>
      <c r="J155" s="7">
        <v>72</v>
      </c>
      <c r="K155" s="7"/>
      <c r="L155" s="7"/>
      <c r="M155" s="7"/>
      <c r="N155" s="7"/>
      <c r="O155" s="7"/>
      <c r="P155" s="7"/>
      <c r="Q155" s="7"/>
      <c r="R155" s="7"/>
      <c r="S155" s="9">
        <f t="shared" si="19"/>
        <v>840</v>
      </c>
      <c r="T155" s="10">
        <f t="shared" si="20"/>
        <v>0</v>
      </c>
      <c r="U155" s="10"/>
    </row>
    <row r="156" spans="1:21">
      <c r="A156" s="6"/>
      <c r="B156" s="11" t="s">
        <v>99</v>
      </c>
      <c r="C156" s="7" t="s">
        <v>26</v>
      </c>
      <c r="D156" s="7"/>
      <c r="E156" s="7"/>
      <c r="F156" s="7">
        <f t="shared" si="22"/>
        <v>754</v>
      </c>
      <c r="G156" s="8"/>
      <c r="H156" s="7">
        <f t="shared" si="23"/>
        <v>0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9">
        <f t="shared" si="19"/>
        <v>754</v>
      </c>
      <c r="T156" s="10">
        <f t="shared" si="20"/>
        <v>0</v>
      </c>
      <c r="U156" s="10"/>
    </row>
    <row r="157" spans="1:21">
      <c r="A157" s="6"/>
      <c r="B157" s="11" t="s">
        <v>100</v>
      </c>
      <c r="C157" s="7" t="s">
        <v>26</v>
      </c>
      <c r="D157" s="7"/>
      <c r="E157" s="7"/>
      <c r="F157" s="7">
        <f t="shared" si="22"/>
        <v>331</v>
      </c>
      <c r="G157" s="8"/>
      <c r="H157" s="7">
        <f t="shared" si="23"/>
        <v>0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9">
        <f t="shared" si="19"/>
        <v>331</v>
      </c>
      <c r="T157" s="10">
        <f t="shared" si="20"/>
        <v>0</v>
      </c>
      <c r="U157" s="10"/>
    </row>
    <row r="158" spans="1:21">
      <c r="A158" s="6"/>
      <c r="B158" s="11" t="s">
        <v>101</v>
      </c>
      <c r="C158" s="7" t="s">
        <v>26</v>
      </c>
      <c r="D158" s="7"/>
      <c r="E158" s="7"/>
      <c r="F158" s="7">
        <f t="shared" si="22"/>
        <v>120</v>
      </c>
      <c r="G158" s="8"/>
      <c r="H158" s="7">
        <f t="shared" si="23"/>
        <v>0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9">
        <f t="shared" si="19"/>
        <v>120</v>
      </c>
      <c r="T158" s="10">
        <f t="shared" si="20"/>
        <v>0</v>
      </c>
      <c r="U158" s="10"/>
    </row>
    <row r="159" spans="1:21">
      <c r="A159" s="6"/>
      <c r="B159" s="11" t="s">
        <v>102</v>
      </c>
      <c r="C159" s="7" t="s">
        <v>26</v>
      </c>
      <c r="D159" s="7"/>
      <c r="E159" s="7"/>
      <c r="F159" s="7">
        <f t="shared" si="22"/>
        <v>1051</v>
      </c>
      <c r="G159" s="8"/>
      <c r="H159" s="7">
        <f t="shared" si="23"/>
        <v>0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9">
        <f t="shared" si="19"/>
        <v>1051</v>
      </c>
      <c r="T159" s="10">
        <f t="shared" si="20"/>
        <v>0</v>
      </c>
      <c r="U159" s="10"/>
    </row>
    <row r="160" spans="1:21">
      <c r="A160" s="6"/>
      <c r="B160" s="11" t="s">
        <v>103</v>
      </c>
      <c r="C160" s="7" t="s">
        <v>26</v>
      </c>
      <c r="D160" s="7"/>
      <c r="E160" s="7"/>
      <c r="F160" s="7">
        <f t="shared" si="22"/>
        <v>257</v>
      </c>
      <c r="G160" s="8"/>
      <c r="H160" s="7">
        <f t="shared" si="23"/>
        <v>0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9">
        <f t="shared" si="19"/>
        <v>257</v>
      </c>
      <c r="T160" s="10">
        <f t="shared" si="20"/>
        <v>0</v>
      </c>
      <c r="U160" s="10"/>
    </row>
    <row r="161" spans="1:25">
      <c r="A161" s="6"/>
      <c r="B161" s="11"/>
      <c r="C161" s="7"/>
      <c r="D161" s="7"/>
      <c r="E161" s="7"/>
      <c r="F161" s="7">
        <f t="shared" si="22"/>
        <v>0</v>
      </c>
      <c r="G161" s="8"/>
      <c r="H161" s="7">
        <f t="shared" si="23"/>
        <v>0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9">
        <f t="shared" si="19"/>
        <v>0</v>
      </c>
      <c r="T161" s="10">
        <f t="shared" si="20"/>
        <v>0</v>
      </c>
      <c r="U161" s="10"/>
    </row>
    <row r="162" spans="1:25">
      <c r="A162" s="6"/>
      <c r="B162" s="11"/>
      <c r="C162" s="7"/>
      <c r="D162" s="7"/>
      <c r="E162" s="7"/>
      <c r="F162" s="7">
        <f t="shared" si="22"/>
        <v>0</v>
      </c>
      <c r="G162" s="8"/>
      <c r="H162" s="7">
        <f t="shared" si="23"/>
        <v>0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9">
        <f t="shared" si="19"/>
        <v>0</v>
      </c>
      <c r="T162" s="10">
        <f t="shared" si="20"/>
        <v>0</v>
      </c>
      <c r="U162" s="10"/>
    </row>
    <row r="163" spans="1:25">
      <c r="A163" s="6"/>
      <c r="B163" s="11"/>
      <c r="C163" s="7"/>
      <c r="D163" s="7"/>
      <c r="E163" s="7"/>
      <c r="F163" s="7">
        <f t="shared" si="22"/>
        <v>0</v>
      </c>
      <c r="G163" s="8"/>
      <c r="H163" s="7">
        <f t="shared" si="23"/>
        <v>0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9">
        <f t="shared" si="19"/>
        <v>0</v>
      </c>
      <c r="T163" s="10">
        <f t="shared" si="20"/>
        <v>0</v>
      </c>
      <c r="U163" s="10"/>
    </row>
    <row r="164" spans="1:25">
      <c r="A164" s="6"/>
      <c r="B164" s="11"/>
      <c r="C164" s="7"/>
      <c r="D164" s="7"/>
      <c r="E164" s="7"/>
      <c r="F164" s="7">
        <f t="shared" si="22"/>
        <v>0</v>
      </c>
      <c r="G164" s="8"/>
      <c r="H164" s="7">
        <f t="shared" si="23"/>
        <v>0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9">
        <f t="shared" si="19"/>
        <v>0</v>
      </c>
      <c r="T164" s="10">
        <f t="shared" si="20"/>
        <v>0</v>
      </c>
      <c r="U164" s="10"/>
    </row>
    <row r="165" spans="1:25">
      <c r="A165" s="6"/>
      <c r="B165" s="11"/>
      <c r="C165" s="7"/>
      <c r="D165" s="7"/>
      <c r="E165" s="7"/>
      <c r="F165" s="7">
        <f t="shared" si="22"/>
        <v>0</v>
      </c>
      <c r="G165" s="8"/>
      <c r="H165" s="7">
        <f t="shared" si="23"/>
        <v>0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9">
        <f t="shared" si="19"/>
        <v>0</v>
      </c>
      <c r="T165" s="10">
        <f t="shared" si="20"/>
        <v>0</v>
      </c>
      <c r="U165" s="10"/>
    </row>
    <row r="166" spans="1:25">
      <c r="A166" s="6"/>
      <c r="B166" s="11"/>
      <c r="C166" s="7"/>
      <c r="D166" s="7"/>
      <c r="E166" s="7"/>
      <c r="F166" s="7">
        <f t="shared" si="22"/>
        <v>0</v>
      </c>
      <c r="G166" s="8"/>
      <c r="H166" s="7">
        <f t="shared" si="23"/>
        <v>0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9">
        <f t="shared" si="19"/>
        <v>0</v>
      </c>
      <c r="T166" s="10">
        <f t="shared" si="20"/>
        <v>0</v>
      </c>
      <c r="U166" s="10"/>
    </row>
    <row r="167" spans="1:25">
      <c r="A167" s="6"/>
      <c r="B167" s="11"/>
      <c r="C167" s="7"/>
      <c r="D167" s="7"/>
      <c r="E167" s="7"/>
      <c r="F167" s="7">
        <f t="shared" si="22"/>
        <v>0</v>
      </c>
      <c r="G167" s="8"/>
      <c r="H167" s="7">
        <f t="shared" si="23"/>
        <v>0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9">
        <f t="shared" si="19"/>
        <v>0</v>
      </c>
      <c r="T167" s="10">
        <f t="shared" si="20"/>
        <v>0</v>
      </c>
      <c r="U167" s="10"/>
    </row>
    <row r="168" spans="1:25">
      <c r="A168" s="6"/>
      <c r="B168" s="11"/>
      <c r="C168" s="7"/>
      <c r="D168" s="7"/>
      <c r="E168" s="7"/>
      <c r="F168" s="7">
        <f t="shared" si="22"/>
        <v>0</v>
      </c>
      <c r="G168" s="8"/>
      <c r="H168" s="7">
        <f t="shared" si="23"/>
        <v>0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9">
        <f t="shared" si="19"/>
        <v>0</v>
      </c>
      <c r="T168" s="10">
        <f t="shared" si="20"/>
        <v>0</v>
      </c>
      <c r="U168" s="10"/>
    </row>
    <row r="169" spans="1:25">
      <c r="A169" s="6"/>
      <c r="B169" s="11"/>
      <c r="C169" s="7"/>
      <c r="D169" s="7"/>
      <c r="E169" s="7"/>
      <c r="F169" s="7">
        <f t="shared" si="22"/>
        <v>0</v>
      </c>
      <c r="G169" s="8"/>
      <c r="H169" s="7">
        <f t="shared" si="23"/>
        <v>0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9">
        <f t="shared" si="19"/>
        <v>0</v>
      </c>
      <c r="T169" s="10">
        <f t="shared" si="20"/>
        <v>0</v>
      </c>
      <c r="U169" s="10"/>
    </row>
    <row r="170" spans="1:25">
      <c r="A170" s="6"/>
      <c r="B170" s="11"/>
      <c r="C170" s="7"/>
      <c r="D170" s="7"/>
      <c r="E170" s="7"/>
      <c r="F170" s="7">
        <f t="shared" si="22"/>
        <v>0</v>
      </c>
      <c r="G170" s="8"/>
      <c r="H170" s="7">
        <f t="shared" si="23"/>
        <v>0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9">
        <f t="shared" si="19"/>
        <v>0</v>
      </c>
      <c r="T170" s="10">
        <f t="shared" si="20"/>
        <v>0</v>
      </c>
      <c r="U170" s="10"/>
    </row>
    <row r="171" spans="1:25">
      <c r="A171" s="6"/>
      <c r="B171" s="11"/>
      <c r="C171" s="7"/>
      <c r="D171" s="7"/>
      <c r="E171" s="7"/>
      <c r="F171" s="7">
        <f t="shared" si="22"/>
        <v>0</v>
      </c>
      <c r="G171" s="8"/>
      <c r="H171" s="7">
        <f t="shared" si="23"/>
        <v>0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9">
        <f t="shared" si="19"/>
        <v>0</v>
      </c>
      <c r="T171" s="10">
        <f t="shared" si="20"/>
        <v>0</v>
      </c>
      <c r="U171" s="10"/>
      <c r="V171">
        <f>X171*0.1</f>
        <v>0</v>
      </c>
      <c r="W171">
        <f>E171*S171*1.5</f>
        <v>0</v>
      </c>
      <c r="X171">
        <f>J171+K171</f>
        <v>0</v>
      </c>
      <c r="Y171">
        <f>X171*0.13</f>
        <v>0</v>
      </c>
    </row>
    <row r="172" spans="1:25">
      <c r="A172" s="6">
        <v>46145</v>
      </c>
      <c r="B172" t="s">
        <v>25</v>
      </c>
      <c r="C172" s="7" t="s">
        <v>26</v>
      </c>
      <c r="D172" s="7"/>
      <c r="E172" s="7"/>
      <c r="F172" s="7">
        <f t="shared" ref="F172:F183" si="24">S87</f>
        <v>2019</v>
      </c>
      <c r="G172" s="8"/>
      <c r="H172" s="7">
        <f t="shared" si="23"/>
        <v>0</v>
      </c>
      <c r="I172" s="7"/>
      <c r="J172" s="7">
        <v>20</v>
      </c>
      <c r="K172" s="7"/>
      <c r="L172" s="7"/>
      <c r="M172" s="7"/>
      <c r="N172" s="7"/>
      <c r="O172" s="7"/>
      <c r="P172" s="7"/>
      <c r="Q172" s="7"/>
      <c r="R172" s="7"/>
      <c r="S172" s="9">
        <f t="shared" si="19"/>
        <v>1999</v>
      </c>
      <c r="T172" s="10">
        <f t="shared" si="20"/>
        <v>0</v>
      </c>
      <c r="U172" s="10"/>
      <c r="V172">
        <f t="shared" ref="V172:V178" si="25">X172*0.1</f>
        <v>2</v>
      </c>
      <c r="W172">
        <f t="shared" ref="W172:W178" si="26">E172*S172*1.5</f>
        <v>0</v>
      </c>
      <c r="X172">
        <f t="shared" ref="X172:X178" si="27">J172+K172</f>
        <v>20</v>
      </c>
      <c r="Y172">
        <f t="shared" ref="Y172:Y178" si="28">X172*0.13</f>
        <v>2.6</v>
      </c>
    </row>
    <row r="173" spans="1:25">
      <c r="A173" s="6"/>
      <c r="B173" t="s">
        <v>27</v>
      </c>
      <c r="C173" s="7" t="s">
        <v>26</v>
      </c>
      <c r="D173" s="7"/>
      <c r="E173" s="7"/>
      <c r="F173" s="7">
        <f t="shared" si="24"/>
        <v>492</v>
      </c>
      <c r="G173" s="8"/>
      <c r="H173" s="7">
        <f t="shared" si="23"/>
        <v>0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9">
        <f t="shared" si="19"/>
        <v>492</v>
      </c>
      <c r="T173" s="10">
        <f t="shared" si="20"/>
        <v>0</v>
      </c>
      <c r="U173" s="10"/>
      <c r="V173">
        <f t="shared" si="25"/>
        <v>0</v>
      </c>
      <c r="W173">
        <f t="shared" si="26"/>
        <v>0</v>
      </c>
      <c r="X173">
        <f t="shared" si="27"/>
        <v>0</v>
      </c>
      <c r="Y173">
        <f t="shared" si="28"/>
        <v>0</v>
      </c>
    </row>
    <row r="174" spans="1:25">
      <c r="A174" s="6"/>
      <c r="B174" s="6" t="s">
        <v>28</v>
      </c>
      <c r="C174" s="7" t="s">
        <v>26</v>
      </c>
      <c r="D174" s="7"/>
      <c r="E174" s="7"/>
      <c r="F174" s="7">
        <f t="shared" si="24"/>
        <v>1836</v>
      </c>
      <c r="G174" s="8"/>
      <c r="H174" s="7">
        <f t="shared" si="23"/>
        <v>0</v>
      </c>
      <c r="I174" s="7"/>
      <c r="J174" s="7"/>
      <c r="K174" s="7">
        <v>10</v>
      </c>
      <c r="L174" s="7"/>
      <c r="M174" s="7"/>
      <c r="N174" s="7"/>
      <c r="O174" s="7"/>
      <c r="P174" s="7"/>
      <c r="Q174" s="7"/>
      <c r="R174" s="7"/>
      <c r="S174" s="9">
        <f t="shared" si="19"/>
        <v>1826</v>
      </c>
      <c r="T174" s="10">
        <f t="shared" si="20"/>
        <v>0</v>
      </c>
      <c r="U174" s="10"/>
      <c r="V174">
        <f t="shared" si="25"/>
        <v>1</v>
      </c>
      <c r="W174">
        <f t="shared" si="26"/>
        <v>0</v>
      </c>
      <c r="X174">
        <f t="shared" si="27"/>
        <v>10</v>
      </c>
      <c r="Y174">
        <f t="shared" si="28"/>
        <v>1.3</v>
      </c>
    </row>
    <row r="175" spans="1:25">
      <c r="A175" s="6"/>
      <c r="B175" s="6" t="s">
        <v>29</v>
      </c>
      <c r="C175" s="7" t="s">
        <v>26</v>
      </c>
      <c r="D175" s="7"/>
      <c r="E175" s="7"/>
      <c r="F175" s="7">
        <f t="shared" si="24"/>
        <v>163</v>
      </c>
      <c r="G175" s="8"/>
      <c r="H175" s="7">
        <f t="shared" si="23"/>
        <v>0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9">
        <f t="shared" si="19"/>
        <v>163</v>
      </c>
      <c r="T175" s="10">
        <f t="shared" si="20"/>
        <v>0</v>
      </c>
      <c r="U175" s="10"/>
      <c r="V175">
        <f t="shared" si="25"/>
        <v>0</v>
      </c>
      <c r="W175">
        <f t="shared" si="26"/>
        <v>0</v>
      </c>
      <c r="X175">
        <f t="shared" si="27"/>
        <v>0</v>
      </c>
      <c r="Y175">
        <f t="shared" si="28"/>
        <v>0</v>
      </c>
    </row>
    <row r="176" spans="1:25">
      <c r="A176" s="6"/>
      <c r="B176" s="6" t="s">
        <v>30</v>
      </c>
      <c r="C176" s="7" t="s">
        <v>26</v>
      </c>
      <c r="D176" s="7"/>
      <c r="E176" s="7"/>
      <c r="F176" s="7">
        <f t="shared" si="24"/>
        <v>568</v>
      </c>
      <c r="G176" s="8"/>
      <c r="H176" s="7">
        <f t="shared" si="23"/>
        <v>0</v>
      </c>
      <c r="I176" s="7"/>
      <c r="J176" s="7">
        <v>75</v>
      </c>
      <c r="K176" s="7"/>
      <c r="L176" s="7"/>
      <c r="M176" s="7"/>
      <c r="N176" s="7"/>
      <c r="O176" s="7"/>
      <c r="P176" s="7"/>
      <c r="Q176" s="7"/>
      <c r="R176" s="7"/>
      <c r="S176" s="9">
        <f t="shared" si="19"/>
        <v>493</v>
      </c>
      <c r="T176" s="10">
        <f t="shared" si="20"/>
        <v>0</v>
      </c>
      <c r="U176" s="10"/>
      <c r="V176">
        <f t="shared" si="25"/>
        <v>7.5</v>
      </c>
      <c r="W176">
        <f t="shared" si="26"/>
        <v>0</v>
      </c>
      <c r="X176">
        <f t="shared" si="27"/>
        <v>75</v>
      </c>
      <c r="Y176">
        <f t="shared" si="28"/>
        <v>9.75</v>
      </c>
    </row>
    <row r="177" spans="1:25">
      <c r="A177" s="6"/>
      <c r="B177" s="6" t="s">
        <v>31</v>
      </c>
      <c r="C177" s="7" t="s">
        <v>26</v>
      </c>
      <c r="D177" s="7"/>
      <c r="E177" s="7"/>
      <c r="F177" s="7">
        <f t="shared" si="24"/>
        <v>484</v>
      </c>
      <c r="G177" s="8"/>
      <c r="H177" s="7">
        <f t="shared" si="23"/>
        <v>0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9">
        <f t="shared" si="19"/>
        <v>484</v>
      </c>
      <c r="T177" s="10">
        <f t="shared" si="20"/>
        <v>0</v>
      </c>
      <c r="U177" s="10"/>
      <c r="V177">
        <f t="shared" si="25"/>
        <v>0</v>
      </c>
      <c r="W177">
        <f t="shared" si="26"/>
        <v>0</v>
      </c>
      <c r="X177">
        <f t="shared" si="27"/>
        <v>0</v>
      </c>
      <c r="Y177">
        <f t="shared" si="28"/>
        <v>0</v>
      </c>
    </row>
    <row r="178" spans="1:25">
      <c r="A178" s="6"/>
      <c r="B178" s="6" t="s">
        <v>32</v>
      </c>
      <c r="C178" s="7" t="s">
        <v>26</v>
      </c>
      <c r="D178" s="7"/>
      <c r="E178" s="7"/>
      <c r="F178" s="7">
        <f t="shared" si="24"/>
        <v>1139</v>
      </c>
      <c r="G178" s="8"/>
      <c r="H178" s="7">
        <f t="shared" si="23"/>
        <v>0</v>
      </c>
      <c r="I178" s="7"/>
      <c r="J178" s="7">
        <v>90</v>
      </c>
      <c r="K178" s="7"/>
      <c r="L178" s="7"/>
      <c r="M178" s="7"/>
      <c r="N178" s="7"/>
      <c r="O178" s="7"/>
      <c r="P178" s="7"/>
      <c r="Q178" s="7"/>
      <c r="R178" s="7"/>
      <c r="S178" s="9">
        <f t="shared" si="19"/>
        <v>1049</v>
      </c>
      <c r="T178" s="10">
        <f t="shared" si="20"/>
        <v>0</v>
      </c>
      <c r="U178" s="10"/>
      <c r="V178">
        <f t="shared" si="25"/>
        <v>9</v>
      </c>
      <c r="W178">
        <f t="shared" si="26"/>
        <v>0</v>
      </c>
      <c r="X178">
        <f t="shared" si="27"/>
        <v>90</v>
      </c>
      <c r="Y178">
        <f t="shared" si="28"/>
        <v>11.7</v>
      </c>
    </row>
    <row r="179" spans="1:25">
      <c r="A179" s="6"/>
      <c r="B179" s="6" t="s">
        <v>33</v>
      </c>
      <c r="C179" s="7" t="s">
        <v>26</v>
      </c>
      <c r="D179" s="7"/>
      <c r="E179" s="7"/>
      <c r="F179" s="7">
        <f t="shared" si="24"/>
        <v>1096</v>
      </c>
      <c r="G179" s="8"/>
      <c r="H179" s="7">
        <f t="shared" si="23"/>
        <v>0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9">
        <f t="shared" si="19"/>
        <v>1096</v>
      </c>
      <c r="T179" s="10">
        <f t="shared" si="20"/>
        <v>0</v>
      </c>
      <c r="U179" s="10"/>
    </row>
    <row r="180" spans="1:25">
      <c r="A180" s="6"/>
      <c r="B180" s="11" t="s">
        <v>34</v>
      </c>
      <c r="C180" s="7" t="s">
        <v>26</v>
      </c>
      <c r="D180" s="7"/>
      <c r="E180" s="7"/>
      <c r="F180" s="7">
        <f t="shared" si="24"/>
        <v>17</v>
      </c>
      <c r="G180" s="8"/>
      <c r="H180" s="7">
        <f t="shared" si="23"/>
        <v>0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9">
        <f t="shared" si="19"/>
        <v>17</v>
      </c>
      <c r="T180" s="10">
        <f t="shared" si="20"/>
        <v>0</v>
      </c>
      <c r="U180" s="10"/>
    </row>
    <row r="181" spans="1:25">
      <c r="A181" s="6"/>
      <c r="B181" s="11" t="s">
        <v>35</v>
      </c>
      <c r="C181" s="7" t="s">
        <v>26</v>
      </c>
      <c r="D181" s="7"/>
      <c r="E181" s="7"/>
      <c r="F181" s="7">
        <f t="shared" si="24"/>
        <v>120</v>
      </c>
      <c r="G181" s="8"/>
      <c r="H181" s="7">
        <f t="shared" si="23"/>
        <v>0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9">
        <f t="shared" si="19"/>
        <v>120</v>
      </c>
      <c r="T181" s="10">
        <f t="shared" si="20"/>
        <v>0</v>
      </c>
      <c r="U181" s="10"/>
    </row>
    <row r="182" spans="1:25">
      <c r="A182" s="6"/>
      <c r="B182" s="11" t="s">
        <v>36</v>
      </c>
      <c r="C182" s="7" t="s">
        <v>26</v>
      </c>
      <c r="D182" s="7"/>
      <c r="E182" s="7"/>
      <c r="F182" s="7">
        <f t="shared" si="24"/>
        <v>0</v>
      </c>
      <c r="G182" s="8"/>
      <c r="H182" s="7">
        <f t="shared" si="23"/>
        <v>0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9">
        <f t="shared" si="19"/>
        <v>0</v>
      </c>
      <c r="T182" s="10">
        <f t="shared" si="20"/>
        <v>0</v>
      </c>
      <c r="U182" s="10"/>
    </row>
    <row r="183" spans="1:25">
      <c r="A183" s="6"/>
      <c r="B183" s="11" t="s">
        <v>37</v>
      </c>
      <c r="C183" s="7" t="s">
        <v>26</v>
      </c>
      <c r="D183" s="7"/>
      <c r="E183" s="7"/>
      <c r="F183" s="7">
        <f t="shared" si="24"/>
        <v>24</v>
      </c>
      <c r="G183" s="8"/>
      <c r="H183" s="7">
        <f t="shared" si="23"/>
        <v>0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9">
        <f t="shared" ref="S183:S246" si="29">F183+G183-J183-K183-L183+M183+O183-P183-R183</f>
        <v>24</v>
      </c>
      <c r="T183" s="10">
        <f t="shared" ref="T183:T246" si="30">H183+I183+N183+R183-Q183</f>
        <v>0</v>
      </c>
      <c r="U183" s="10"/>
    </row>
    <row r="184" spans="1:25">
      <c r="A184" s="6"/>
      <c r="B184" s="11" t="s">
        <v>38</v>
      </c>
      <c r="C184" s="7" t="s">
        <v>26</v>
      </c>
      <c r="D184" s="7"/>
      <c r="E184" s="7"/>
      <c r="F184" s="7">
        <f t="shared" ref="F184:F215" si="31">S99</f>
        <v>0</v>
      </c>
      <c r="G184" s="8"/>
      <c r="H184" s="7">
        <f t="shared" si="23"/>
        <v>0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9">
        <f t="shared" si="29"/>
        <v>0</v>
      </c>
      <c r="T184" s="10">
        <f t="shared" si="30"/>
        <v>0</v>
      </c>
      <c r="U184" s="10"/>
    </row>
    <row r="185" spans="1:25">
      <c r="A185" s="6"/>
      <c r="B185" s="11" t="s">
        <v>39</v>
      </c>
      <c r="C185" s="7" t="s">
        <v>26</v>
      </c>
      <c r="D185" s="7"/>
      <c r="E185" s="7"/>
      <c r="F185" s="7">
        <f t="shared" si="31"/>
        <v>292</v>
      </c>
      <c r="G185" s="8"/>
      <c r="H185" s="7">
        <f t="shared" si="23"/>
        <v>0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9">
        <f t="shared" si="29"/>
        <v>292</v>
      </c>
      <c r="T185" s="10">
        <f t="shared" si="30"/>
        <v>0</v>
      </c>
      <c r="U185" s="10"/>
    </row>
    <row r="186" spans="1:25">
      <c r="A186" s="6"/>
      <c r="B186" s="11" t="s">
        <v>40</v>
      </c>
      <c r="C186" s="7" t="s">
        <v>41</v>
      </c>
      <c r="D186" s="7"/>
      <c r="E186" s="7"/>
      <c r="F186" s="7">
        <f t="shared" si="31"/>
        <v>0</v>
      </c>
      <c r="G186" s="8"/>
      <c r="H186" s="7">
        <f t="shared" si="23"/>
        <v>0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9">
        <f t="shared" si="29"/>
        <v>0</v>
      </c>
      <c r="T186" s="10">
        <f t="shared" si="30"/>
        <v>0</v>
      </c>
      <c r="U186" s="10"/>
    </row>
    <row r="187" spans="1:25">
      <c r="A187" s="6"/>
      <c r="B187" s="11" t="s">
        <v>42</v>
      </c>
      <c r="C187" s="7" t="s">
        <v>41</v>
      </c>
      <c r="D187" s="7"/>
      <c r="E187" s="7"/>
      <c r="F187" s="7">
        <f t="shared" si="31"/>
        <v>53</v>
      </c>
      <c r="G187" s="8"/>
      <c r="H187" s="7">
        <f t="shared" si="23"/>
        <v>0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9">
        <f t="shared" si="29"/>
        <v>53</v>
      </c>
      <c r="T187" s="10">
        <f t="shared" si="30"/>
        <v>0</v>
      </c>
      <c r="U187" s="10"/>
    </row>
    <row r="188" spans="1:25">
      <c r="A188" s="6"/>
      <c r="B188" s="11" t="s">
        <v>43</v>
      </c>
      <c r="C188" s="7" t="s">
        <v>41</v>
      </c>
      <c r="D188" s="7"/>
      <c r="E188" s="7"/>
      <c r="F188" s="7">
        <f t="shared" si="31"/>
        <v>0</v>
      </c>
      <c r="G188" s="8"/>
      <c r="H188" s="7">
        <f t="shared" si="23"/>
        <v>0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9">
        <f t="shared" si="29"/>
        <v>0</v>
      </c>
      <c r="T188" s="10">
        <f t="shared" si="30"/>
        <v>0</v>
      </c>
      <c r="U188" s="10"/>
    </row>
    <row r="189" spans="1:25">
      <c r="A189" s="6"/>
      <c r="B189" s="11" t="s">
        <v>44</v>
      </c>
      <c r="C189" s="7" t="s">
        <v>41</v>
      </c>
      <c r="D189" s="7"/>
      <c r="E189" s="7"/>
      <c r="F189" s="7">
        <f t="shared" si="31"/>
        <v>75</v>
      </c>
      <c r="G189" s="8"/>
      <c r="H189" s="7">
        <f t="shared" si="23"/>
        <v>0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9">
        <f t="shared" si="29"/>
        <v>75</v>
      </c>
      <c r="T189" s="10">
        <f t="shared" si="30"/>
        <v>0</v>
      </c>
      <c r="U189" s="10"/>
    </row>
    <row r="190" spans="1:25">
      <c r="A190" s="6"/>
      <c r="B190" s="11" t="s">
        <v>45</v>
      </c>
      <c r="C190" s="7" t="s">
        <v>41</v>
      </c>
      <c r="D190" s="7"/>
      <c r="E190" s="7"/>
      <c r="F190" s="7">
        <f t="shared" si="31"/>
        <v>0</v>
      </c>
      <c r="G190" s="8"/>
      <c r="H190" s="7">
        <f t="shared" si="23"/>
        <v>0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9">
        <f t="shared" si="29"/>
        <v>0</v>
      </c>
      <c r="T190" s="10">
        <f t="shared" si="30"/>
        <v>0</v>
      </c>
      <c r="U190" s="10"/>
    </row>
    <row r="191" spans="1:25">
      <c r="A191" s="6"/>
      <c r="B191" s="11" t="s">
        <v>46</v>
      </c>
      <c r="C191" s="7" t="s">
        <v>41</v>
      </c>
      <c r="D191" s="7"/>
      <c r="E191" s="7"/>
      <c r="F191" s="7">
        <f t="shared" si="31"/>
        <v>17</v>
      </c>
      <c r="G191" s="8"/>
      <c r="H191" s="7">
        <f t="shared" si="23"/>
        <v>0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9">
        <f t="shared" si="29"/>
        <v>17</v>
      </c>
      <c r="T191" s="10">
        <f t="shared" si="30"/>
        <v>0</v>
      </c>
      <c r="U191" s="10"/>
    </row>
    <row r="192" spans="1:25">
      <c r="A192" s="6"/>
      <c r="B192" s="11" t="s">
        <v>47</v>
      </c>
      <c r="C192" s="7" t="s">
        <v>26</v>
      </c>
      <c r="D192" s="7"/>
      <c r="E192" s="7"/>
      <c r="F192" s="7">
        <f t="shared" si="31"/>
        <v>398</v>
      </c>
      <c r="G192" s="8"/>
      <c r="H192" s="7">
        <f t="shared" si="23"/>
        <v>0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9">
        <f t="shared" si="29"/>
        <v>398</v>
      </c>
      <c r="T192" s="10">
        <f t="shared" si="30"/>
        <v>0</v>
      </c>
      <c r="U192" s="10"/>
    </row>
    <row r="193" spans="1:21">
      <c r="A193" s="6"/>
      <c r="B193" s="11" t="s">
        <v>48</v>
      </c>
      <c r="C193" s="7" t="s">
        <v>26</v>
      </c>
      <c r="D193" s="7"/>
      <c r="E193" s="7"/>
      <c r="F193" s="7">
        <f t="shared" si="31"/>
        <v>50791</v>
      </c>
      <c r="G193" s="8"/>
      <c r="H193" s="7">
        <f t="shared" si="23"/>
        <v>0</v>
      </c>
      <c r="I193" s="7"/>
      <c r="J193" s="7">
        <v>1200</v>
      </c>
      <c r="K193" s="7"/>
      <c r="L193" s="7"/>
      <c r="M193" s="7">
        <v>227</v>
      </c>
      <c r="N193" s="7"/>
      <c r="O193" s="7"/>
      <c r="P193" s="7"/>
      <c r="Q193" s="7"/>
      <c r="R193" s="7"/>
      <c r="S193" s="9">
        <f t="shared" si="29"/>
        <v>49818</v>
      </c>
      <c r="T193" s="10">
        <f t="shared" si="30"/>
        <v>0</v>
      </c>
      <c r="U193" s="10" t="s">
        <v>106</v>
      </c>
    </row>
    <row r="194" spans="1:21">
      <c r="A194" s="6"/>
      <c r="B194" s="11" t="s">
        <v>50</v>
      </c>
      <c r="C194" s="7" t="s">
        <v>26</v>
      </c>
      <c r="D194" s="7"/>
      <c r="E194" s="7"/>
      <c r="F194" s="7">
        <f t="shared" si="31"/>
        <v>0</v>
      </c>
      <c r="G194" s="8"/>
      <c r="H194" s="7">
        <f t="shared" si="23"/>
        <v>0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9">
        <f t="shared" si="29"/>
        <v>0</v>
      </c>
      <c r="T194" s="10">
        <f t="shared" si="30"/>
        <v>0</v>
      </c>
      <c r="U194" s="10"/>
    </row>
    <row r="195" spans="1:21">
      <c r="A195" s="6"/>
      <c r="B195" s="11" t="s">
        <v>51</v>
      </c>
      <c r="C195" s="7" t="s">
        <v>26</v>
      </c>
      <c r="D195" s="7"/>
      <c r="E195" s="7"/>
      <c r="F195" s="7">
        <f t="shared" si="31"/>
        <v>300</v>
      </c>
      <c r="G195" s="8"/>
      <c r="H195" s="7">
        <f t="shared" si="23"/>
        <v>0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9">
        <f t="shared" si="29"/>
        <v>300</v>
      </c>
      <c r="T195" s="10">
        <f t="shared" si="30"/>
        <v>0</v>
      </c>
      <c r="U195" s="10"/>
    </row>
    <row r="196" spans="1:21">
      <c r="A196" s="6"/>
      <c r="B196" s="11" t="s">
        <v>52</v>
      </c>
      <c r="C196" s="7" t="s">
        <v>26</v>
      </c>
      <c r="D196" s="7"/>
      <c r="E196" s="7"/>
      <c r="F196" s="7">
        <f t="shared" si="31"/>
        <v>16894</v>
      </c>
      <c r="G196" s="8"/>
      <c r="H196" s="7">
        <f t="shared" si="23"/>
        <v>0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9">
        <f t="shared" si="29"/>
        <v>16894</v>
      </c>
      <c r="T196" s="10">
        <f t="shared" si="30"/>
        <v>0</v>
      </c>
      <c r="U196" s="10"/>
    </row>
    <row r="197" spans="1:21">
      <c r="A197" s="6"/>
      <c r="B197" s="11" t="s">
        <v>53</v>
      </c>
      <c r="C197" s="7" t="s">
        <v>54</v>
      </c>
      <c r="D197" s="7"/>
      <c r="E197" s="7"/>
      <c r="F197" s="7">
        <f t="shared" si="31"/>
        <v>0</v>
      </c>
      <c r="G197" s="8"/>
      <c r="H197" s="7">
        <f t="shared" si="23"/>
        <v>0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9">
        <f t="shared" si="29"/>
        <v>0</v>
      </c>
      <c r="T197" s="10">
        <f t="shared" si="30"/>
        <v>0</v>
      </c>
      <c r="U197" s="10"/>
    </row>
    <row r="198" spans="1:21">
      <c r="A198" s="6"/>
      <c r="B198" s="11" t="s">
        <v>55</v>
      </c>
      <c r="C198" s="7" t="s">
        <v>54</v>
      </c>
      <c r="D198" s="7"/>
      <c r="E198" s="7"/>
      <c r="F198" s="7">
        <f t="shared" si="31"/>
        <v>15</v>
      </c>
      <c r="G198" s="8"/>
      <c r="H198" s="7">
        <f t="shared" si="23"/>
        <v>0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9">
        <f t="shared" si="29"/>
        <v>15</v>
      </c>
      <c r="T198" s="10">
        <f t="shared" si="30"/>
        <v>0</v>
      </c>
      <c r="U198" s="10"/>
    </row>
    <row r="199" spans="1:21">
      <c r="A199" s="6"/>
      <c r="B199" s="11" t="s">
        <v>56</v>
      </c>
      <c r="C199" s="7" t="s">
        <v>54</v>
      </c>
      <c r="D199" s="7"/>
      <c r="E199" s="7"/>
      <c r="F199" s="7">
        <f t="shared" si="31"/>
        <v>1560</v>
      </c>
      <c r="G199" s="8"/>
      <c r="H199" s="7">
        <f t="shared" si="23"/>
        <v>0</v>
      </c>
      <c r="I199" s="7"/>
      <c r="J199" s="7">
        <v>144</v>
      </c>
      <c r="K199" s="7"/>
      <c r="L199" s="7"/>
      <c r="M199" s="7"/>
      <c r="N199" s="7"/>
      <c r="O199" s="7"/>
      <c r="P199" s="7"/>
      <c r="Q199" s="7"/>
      <c r="R199" s="7"/>
      <c r="S199" s="9">
        <f t="shared" si="29"/>
        <v>1416</v>
      </c>
      <c r="T199" s="10">
        <f t="shared" si="30"/>
        <v>0</v>
      </c>
      <c r="U199" s="10"/>
    </row>
    <row r="200" spans="1:21">
      <c r="A200" s="6"/>
      <c r="B200" s="11" t="s">
        <v>57</v>
      </c>
      <c r="C200" s="7" t="s">
        <v>54</v>
      </c>
      <c r="D200" s="7"/>
      <c r="E200" s="7"/>
      <c r="F200" s="7">
        <f t="shared" si="31"/>
        <v>355</v>
      </c>
      <c r="G200" s="8"/>
      <c r="H200" s="7">
        <f t="shared" si="23"/>
        <v>0</v>
      </c>
      <c r="I200" s="7"/>
      <c r="J200" s="7"/>
      <c r="K200" s="7"/>
      <c r="L200" s="7"/>
      <c r="M200" s="7">
        <v>12</v>
      </c>
      <c r="N200" s="7"/>
      <c r="O200" s="7"/>
      <c r="P200" s="7"/>
      <c r="Q200" s="7"/>
      <c r="R200" s="7"/>
      <c r="S200" s="9">
        <f t="shared" si="29"/>
        <v>367</v>
      </c>
      <c r="T200" s="10">
        <f t="shared" si="30"/>
        <v>0</v>
      </c>
      <c r="U200" s="10"/>
    </row>
    <row r="201" spans="1:21">
      <c r="A201" s="6"/>
      <c r="B201" s="11" t="s">
        <v>58</v>
      </c>
      <c r="C201" s="7" t="s">
        <v>54</v>
      </c>
      <c r="D201" s="7"/>
      <c r="E201" s="7"/>
      <c r="F201" s="7">
        <f t="shared" si="31"/>
        <v>0</v>
      </c>
      <c r="G201" s="8"/>
      <c r="H201" s="7">
        <f t="shared" si="23"/>
        <v>0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9">
        <f t="shared" si="29"/>
        <v>0</v>
      </c>
      <c r="T201" s="10">
        <f t="shared" si="30"/>
        <v>0</v>
      </c>
      <c r="U201" s="10"/>
    </row>
    <row r="202" spans="1:21">
      <c r="A202" s="6"/>
      <c r="B202" s="11" t="s">
        <v>59</v>
      </c>
      <c r="C202" s="7" t="s">
        <v>54</v>
      </c>
      <c r="D202" s="7"/>
      <c r="E202" s="7"/>
      <c r="F202" s="7">
        <f t="shared" si="31"/>
        <v>19</v>
      </c>
      <c r="G202" s="8"/>
      <c r="H202" s="7">
        <f t="shared" si="23"/>
        <v>0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9">
        <f t="shared" si="29"/>
        <v>19</v>
      </c>
      <c r="T202" s="10">
        <f t="shared" si="30"/>
        <v>0</v>
      </c>
      <c r="U202" s="10"/>
    </row>
    <row r="203" spans="1:21">
      <c r="A203" s="6"/>
      <c r="B203" s="11" t="s">
        <v>60</v>
      </c>
      <c r="C203" s="7" t="s">
        <v>61</v>
      </c>
      <c r="D203" s="7"/>
      <c r="E203" s="7"/>
      <c r="F203" s="7">
        <f t="shared" si="31"/>
        <v>0</v>
      </c>
      <c r="G203" s="8"/>
      <c r="H203" s="7">
        <f t="shared" si="23"/>
        <v>0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9">
        <f t="shared" si="29"/>
        <v>0</v>
      </c>
      <c r="T203" s="10">
        <f t="shared" si="30"/>
        <v>0</v>
      </c>
      <c r="U203" s="10"/>
    </row>
    <row r="204" spans="1:21">
      <c r="A204" s="6"/>
      <c r="B204" s="11" t="s">
        <v>62</v>
      </c>
      <c r="C204" s="7" t="s">
        <v>61</v>
      </c>
      <c r="D204" s="7"/>
      <c r="E204" s="7"/>
      <c r="F204" s="7">
        <f t="shared" si="31"/>
        <v>11</v>
      </c>
      <c r="G204" s="8"/>
      <c r="H204" s="7">
        <f t="shared" si="23"/>
        <v>0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9">
        <f t="shared" si="29"/>
        <v>11</v>
      </c>
      <c r="T204" s="10">
        <f t="shared" si="30"/>
        <v>0</v>
      </c>
      <c r="U204" s="10"/>
    </row>
    <row r="205" spans="1:21">
      <c r="A205" s="6"/>
      <c r="B205" s="10" t="s">
        <v>63</v>
      </c>
      <c r="C205" s="10" t="s">
        <v>41</v>
      </c>
      <c r="D205" s="7"/>
      <c r="E205" s="7"/>
      <c r="F205" s="7">
        <f t="shared" si="31"/>
        <v>0</v>
      </c>
      <c r="G205" s="8"/>
      <c r="H205" s="7">
        <f t="shared" si="23"/>
        <v>0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9">
        <f t="shared" si="29"/>
        <v>0</v>
      </c>
      <c r="T205" s="10">
        <f t="shared" si="30"/>
        <v>0</v>
      </c>
      <c r="U205" s="10"/>
    </row>
    <row r="206" spans="1:21">
      <c r="A206" s="6"/>
      <c r="B206" s="10" t="s">
        <v>64</v>
      </c>
      <c r="C206" s="10" t="s">
        <v>41</v>
      </c>
      <c r="D206" s="7"/>
      <c r="E206" s="7"/>
      <c r="F206" s="7">
        <f t="shared" si="31"/>
        <v>5</v>
      </c>
      <c r="G206" s="8"/>
      <c r="H206" s="7">
        <f t="shared" si="23"/>
        <v>0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9">
        <f t="shared" si="29"/>
        <v>5</v>
      </c>
      <c r="T206" s="10">
        <f t="shared" si="30"/>
        <v>0</v>
      </c>
      <c r="U206" s="10"/>
    </row>
    <row r="207" spans="1:21">
      <c r="A207" s="6"/>
      <c r="B207" s="11" t="s">
        <v>65</v>
      </c>
      <c r="C207" s="7" t="s">
        <v>26</v>
      </c>
      <c r="D207" s="7"/>
      <c r="E207" s="7"/>
      <c r="F207" s="7">
        <f t="shared" ref="F207:F225" si="32">S122</f>
        <v>0</v>
      </c>
      <c r="G207" s="8"/>
      <c r="H207" s="7">
        <f t="shared" si="23"/>
        <v>0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9">
        <f t="shared" si="29"/>
        <v>0</v>
      </c>
      <c r="T207" s="10">
        <f t="shared" si="30"/>
        <v>0</v>
      </c>
      <c r="U207" s="10"/>
    </row>
    <row r="208" spans="1:21">
      <c r="A208" s="6"/>
      <c r="B208" s="11" t="s">
        <v>66</v>
      </c>
      <c r="C208" s="7" t="s">
        <v>26</v>
      </c>
      <c r="D208" s="7"/>
      <c r="E208" s="7"/>
      <c r="F208" s="7">
        <f t="shared" si="32"/>
        <v>71</v>
      </c>
      <c r="G208" s="8"/>
      <c r="H208" s="7">
        <f t="shared" ref="H208:H267" si="33">T123</f>
        <v>0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9">
        <f t="shared" si="29"/>
        <v>71</v>
      </c>
      <c r="T208" s="10">
        <f t="shared" si="30"/>
        <v>0</v>
      </c>
      <c r="U208" s="10"/>
    </row>
    <row r="209" spans="1:21">
      <c r="A209" s="6"/>
      <c r="B209" s="11" t="s">
        <v>67</v>
      </c>
      <c r="C209" s="7" t="s">
        <v>26</v>
      </c>
      <c r="D209" s="7"/>
      <c r="E209" s="7"/>
      <c r="F209" s="7">
        <f t="shared" si="32"/>
        <v>0</v>
      </c>
      <c r="G209" s="8"/>
      <c r="H209" s="7">
        <f t="shared" si="33"/>
        <v>0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9">
        <f t="shared" si="29"/>
        <v>0</v>
      </c>
      <c r="T209" s="10">
        <f t="shared" si="30"/>
        <v>0</v>
      </c>
      <c r="U209" s="10"/>
    </row>
    <row r="210" spans="1:21">
      <c r="A210" s="6"/>
      <c r="B210" s="11" t="s">
        <v>68</v>
      </c>
      <c r="C210" s="7" t="s">
        <v>26</v>
      </c>
      <c r="D210" s="7"/>
      <c r="E210" s="7"/>
      <c r="F210" s="7">
        <f t="shared" si="32"/>
        <v>7</v>
      </c>
      <c r="G210" s="8"/>
      <c r="H210" s="7">
        <f t="shared" si="33"/>
        <v>0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9">
        <f t="shared" si="29"/>
        <v>7</v>
      </c>
      <c r="T210" s="10">
        <f t="shared" si="30"/>
        <v>0</v>
      </c>
      <c r="U210" s="10"/>
    </row>
    <row r="211" spans="1:21">
      <c r="A211" s="6"/>
      <c r="B211" s="11" t="s">
        <v>69</v>
      </c>
      <c r="C211" s="7" t="s">
        <v>41</v>
      </c>
      <c r="D211" s="7"/>
      <c r="E211" s="7"/>
      <c r="F211" s="7">
        <f t="shared" si="32"/>
        <v>0</v>
      </c>
      <c r="G211" s="8"/>
      <c r="H211" s="7">
        <f t="shared" si="33"/>
        <v>0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9">
        <f t="shared" si="29"/>
        <v>0</v>
      </c>
      <c r="T211" s="10">
        <f t="shared" si="30"/>
        <v>0</v>
      </c>
      <c r="U211" s="10"/>
    </row>
    <row r="212" spans="1:21">
      <c r="A212" s="6"/>
      <c r="B212" s="11" t="s">
        <v>70</v>
      </c>
      <c r="C212" s="7" t="s">
        <v>41</v>
      </c>
      <c r="D212" s="7"/>
      <c r="E212" s="7"/>
      <c r="F212" s="7">
        <f t="shared" si="32"/>
        <v>13</v>
      </c>
      <c r="G212" s="8"/>
      <c r="H212" s="7">
        <f t="shared" si="33"/>
        <v>0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9">
        <f t="shared" si="29"/>
        <v>13</v>
      </c>
      <c r="T212" s="10">
        <f t="shared" si="30"/>
        <v>0</v>
      </c>
      <c r="U212" s="10"/>
    </row>
    <row r="213" spans="1:21">
      <c r="A213" s="6"/>
      <c r="B213" s="11" t="s">
        <v>71</v>
      </c>
      <c r="C213" s="7" t="s">
        <v>61</v>
      </c>
      <c r="D213" s="7"/>
      <c r="E213" s="7"/>
      <c r="F213" s="7">
        <f t="shared" si="32"/>
        <v>0</v>
      </c>
      <c r="G213" s="8"/>
      <c r="H213" s="7">
        <f t="shared" si="33"/>
        <v>0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9">
        <f t="shared" si="29"/>
        <v>0</v>
      </c>
      <c r="T213" s="10">
        <f t="shared" si="30"/>
        <v>0</v>
      </c>
      <c r="U213" s="10"/>
    </row>
    <row r="214" spans="1:21">
      <c r="A214" s="6"/>
      <c r="B214" s="11" t="s">
        <v>72</v>
      </c>
      <c r="C214" s="7" t="s">
        <v>61</v>
      </c>
      <c r="D214" s="7"/>
      <c r="E214" s="7"/>
      <c r="F214" s="7">
        <f t="shared" si="32"/>
        <v>8</v>
      </c>
      <c r="G214" s="8"/>
      <c r="H214" s="7">
        <f t="shared" si="33"/>
        <v>0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9">
        <f t="shared" si="29"/>
        <v>8</v>
      </c>
      <c r="T214" s="10">
        <f t="shared" si="30"/>
        <v>0</v>
      </c>
      <c r="U214" s="10"/>
    </row>
    <row r="215" spans="1:21">
      <c r="A215" s="6"/>
      <c r="B215" s="11" t="s">
        <v>73</v>
      </c>
      <c r="C215" s="7" t="s">
        <v>26</v>
      </c>
      <c r="D215" s="7"/>
      <c r="E215" s="7"/>
      <c r="F215" s="7">
        <f t="shared" si="32"/>
        <v>0</v>
      </c>
      <c r="G215" s="8"/>
      <c r="H215" s="7">
        <f t="shared" si="33"/>
        <v>0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9">
        <f t="shared" si="29"/>
        <v>0</v>
      </c>
      <c r="T215" s="10">
        <f t="shared" si="30"/>
        <v>0</v>
      </c>
      <c r="U215" s="10"/>
    </row>
    <row r="216" spans="1:21">
      <c r="A216" s="6"/>
      <c r="B216" s="11" t="s">
        <v>74</v>
      </c>
      <c r="C216" s="7" t="s">
        <v>26</v>
      </c>
      <c r="D216" s="7"/>
      <c r="E216" s="7"/>
      <c r="F216" s="7">
        <f t="shared" si="32"/>
        <v>380</v>
      </c>
      <c r="G216" s="8"/>
      <c r="H216" s="7">
        <f t="shared" si="33"/>
        <v>0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9">
        <f t="shared" si="29"/>
        <v>380</v>
      </c>
      <c r="T216" s="10">
        <f t="shared" si="30"/>
        <v>0</v>
      </c>
      <c r="U216" s="10"/>
    </row>
    <row r="217" spans="1:21">
      <c r="A217" s="6"/>
      <c r="B217" s="11" t="s">
        <v>75</v>
      </c>
      <c r="C217" s="7" t="s">
        <v>26</v>
      </c>
      <c r="D217" s="7"/>
      <c r="E217" s="7"/>
      <c r="F217" s="7">
        <f t="shared" si="32"/>
        <v>0</v>
      </c>
      <c r="G217" s="8"/>
      <c r="H217" s="7">
        <f t="shared" si="33"/>
        <v>0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9">
        <f t="shared" si="29"/>
        <v>0</v>
      </c>
      <c r="T217" s="10">
        <f t="shared" si="30"/>
        <v>0</v>
      </c>
      <c r="U217" s="10"/>
    </row>
    <row r="218" spans="1:21">
      <c r="A218" s="6"/>
      <c r="B218" s="11" t="s">
        <v>76</v>
      </c>
      <c r="C218" s="7" t="s">
        <v>26</v>
      </c>
      <c r="D218" s="7"/>
      <c r="E218" s="7"/>
      <c r="F218" s="7">
        <f t="shared" si="32"/>
        <v>275</v>
      </c>
      <c r="G218" s="8"/>
      <c r="H218" s="7">
        <f t="shared" si="33"/>
        <v>0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9">
        <f t="shared" si="29"/>
        <v>275</v>
      </c>
      <c r="T218" s="10">
        <f t="shared" si="30"/>
        <v>0</v>
      </c>
      <c r="U218" s="10"/>
    </row>
    <row r="219" spans="1:21">
      <c r="A219" s="6"/>
      <c r="B219" s="11" t="s">
        <v>77</v>
      </c>
      <c r="C219" s="7" t="s">
        <v>61</v>
      </c>
      <c r="D219" s="7"/>
      <c r="E219" s="7"/>
      <c r="F219" s="7">
        <f t="shared" si="32"/>
        <v>0</v>
      </c>
      <c r="G219" s="8"/>
      <c r="H219" s="7">
        <f t="shared" si="33"/>
        <v>0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9">
        <f t="shared" si="29"/>
        <v>0</v>
      </c>
      <c r="T219" s="10">
        <f t="shared" si="30"/>
        <v>0</v>
      </c>
      <c r="U219" s="10"/>
    </row>
    <row r="220" spans="1:21">
      <c r="A220" s="6"/>
      <c r="B220" s="11" t="s">
        <v>78</v>
      </c>
      <c r="C220" s="7" t="s">
        <v>61</v>
      </c>
      <c r="D220" s="7"/>
      <c r="E220" s="7"/>
      <c r="F220" s="7">
        <f t="shared" si="32"/>
        <v>69</v>
      </c>
      <c r="G220" s="8"/>
      <c r="H220" s="7">
        <f t="shared" si="33"/>
        <v>0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9">
        <f t="shared" si="29"/>
        <v>69</v>
      </c>
      <c r="T220" s="10">
        <f t="shared" si="30"/>
        <v>0</v>
      </c>
      <c r="U220" s="10"/>
    </row>
    <row r="221" spans="1:21">
      <c r="A221" s="6"/>
      <c r="B221" s="11" t="s">
        <v>105</v>
      </c>
      <c r="C221" s="7" t="s">
        <v>26</v>
      </c>
      <c r="D221" s="7"/>
      <c r="E221" s="7"/>
      <c r="F221" s="7">
        <f t="shared" si="32"/>
        <v>1070</v>
      </c>
      <c r="G221" s="8"/>
      <c r="H221" s="7">
        <f t="shared" si="33"/>
        <v>0</v>
      </c>
      <c r="I221" s="7"/>
      <c r="J221" s="7">
        <v>120</v>
      </c>
      <c r="K221" s="7"/>
      <c r="L221" s="7"/>
      <c r="M221" s="7"/>
      <c r="N221" s="7"/>
      <c r="O221" s="7"/>
      <c r="P221" s="7"/>
      <c r="Q221" s="7"/>
      <c r="R221" s="7"/>
      <c r="S221" s="9">
        <f t="shared" si="29"/>
        <v>950</v>
      </c>
      <c r="T221" s="10">
        <f t="shared" si="30"/>
        <v>0</v>
      </c>
      <c r="U221" s="10"/>
    </row>
    <row r="222" spans="1:21">
      <c r="A222" s="6"/>
      <c r="B222" s="11" t="s">
        <v>80</v>
      </c>
      <c r="C222" s="7" t="s">
        <v>26</v>
      </c>
      <c r="D222" s="7"/>
      <c r="E222" s="7"/>
      <c r="F222" s="7">
        <f t="shared" si="32"/>
        <v>448</v>
      </c>
      <c r="G222" s="8"/>
      <c r="H222" s="7">
        <f t="shared" si="33"/>
        <v>0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9">
        <f t="shared" si="29"/>
        <v>448</v>
      </c>
      <c r="T222" s="10">
        <f t="shared" si="30"/>
        <v>0</v>
      </c>
      <c r="U222" s="10"/>
    </row>
    <row r="223" spans="1:21">
      <c r="A223" s="6"/>
      <c r="B223" s="11" t="s">
        <v>81</v>
      </c>
      <c r="C223" s="7" t="s">
        <v>26</v>
      </c>
      <c r="D223" s="7"/>
      <c r="E223" s="7"/>
      <c r="F223" s="7">
        <f t="shared" ref="F223:F236" si="34">S138</f>
        <v>0</v>
      </c>
      <c r="G223" s="8"/>
      <c r="H223" s="7">
        <f t="shared" si="33"/>
        <v>0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9">
        <f t="shared" si="29"/>
        <v>0</v>
      </c>
      <c r="T223" s="10">
        <f t="shared" si="30"/>
        <v>0</v>
      </c>
      <c r="U223" s="10"/>
    </row>
    <row r="224" spans="1:21">
      <c r="A224" s="6"/>
      <c r="B224" s="11" t="s">
        <v>82</v>
      </c>
      <c r="C224" s="7" t="s">
        <v>26</v>
      </c>
      <c r="D224" s="7"/>
      <c r="E224" s="7"/>
      <c r="F224" s="7">
        <f t="shared" si="34"/>
        <v>14</v>
      </c>
      <c r="G224" s="8"/>
      <c r="H224" s="7">
        <f t="shared" si="33"/>
        <v>0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9">
        <f t="shared" si="29"/>
        <v>14</v>
      </c>
      <c r="T224" s="10">
        <f t="shared" si="30"/>
        <v>0</v>
      </c>
      <c r="U224" s="10"/>
    </row>
    <row r="225" spans="1:21">
      <c r="A225" s="6"/>
      <c r="B225" s="11" t="s">
        <v>83</v>
      </c>
      <c r="C225" s="7" t="s">
        <v>26</v>
      </c>
      <c r="D225" s="7"/>
      <c r="E225" s="7"/>
      <c r="F225" s="7">
        <f t="shared" si="34"/>
        <v>0</v>
      </c>
      <c r="G225" s="8"/>
      <c r="H225" s="7">
        <f t="shared" si="33"/>
        <v>0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9">
        <f t="shared" si="29"/>
        <v>0</v>
      </c>
      <c r="T225" s="10">
        <f t="shared" si="30"/>
        <v>0</v>
      </c>
      <c r="U225" s="10"/>
    </row>
    <row r="226" spans="1:21">
      <c r="A226" s="6"/>
      <c r="B226" s="11" t="s">
        <v>84</v>
      </c>
      <c r="C226" s="7" t="s">
        <v>26</v>
      </c>
      <c r="D226" s="7"/>
      <c r="E226" s="7"/>
      <c r="F226" s="7">
        <f t="shared" si="34"/>
        <v>28</v>
      </c>
      <c r="G226" s="8"/>
      <c r="H226" s="7">
        <f t="shared" si="33"/>
        <v>0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9">
        <f t="shared" si="29"/>
        <v>28</v>
      </c>
      <c r="T226" s="10">
        <f t="shared" si="30"/>
        <v>0</v>
      </c>
      <c r="U226" s="10"/>
    </row>
    <row r="227" spans="1:21">
      <c r="A227" s="6"/>
      <c r="B227" s="11" t="s">
        <v>85</v>
      </c>
      <c r="C227" s="7" t="s">
        <v>61</v>
      </c>
      <c r="D227" s="7"/>
      <c r="E227" s="7"/>
      <c r="F227" s="7">
        <f t="shared" si="34"/>
        <v>0</v>
      </c>
      <c r="G227" s="8"/>
      <c r="H227" s="7">
        <f t="shared" si="33"/>
        <v>0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9">
        <f t="shared" si="29"/>
        <v>0</v>
      </c>
      <c r="T227" s="10">
        <f t="shared" si="30"/>
        <v>0</v>
      </c>
      <c r="U227" s="10"/>
    </row>
    <row r="228" spans="1:21">
      <c r="A228" s="6"/>
      <c r="B228" s="11" t="s">
        <v>86</v>
      </c>
      <c r="C228" s="7" t="s">
        <v>61</v>
      </c>
      <c r="D228" s="7"/>
      <c r="E228" s="7"/>
      <c r="F228" s="7">
        <f t="shared" si="34"/>
        <v>10</v>
      </c>
      <c r="G228" s="8"/>
      <c r="H228" s="7">
        <f t="shared" si="33"/>
        <v>0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9">
        <f t="shared" si="29"/>
        <v>10</v>
      </c>
      <c r="T228" s="10">
        <f t="shared" si="30"/>
        <v>0</v>
      </c>
      <c r="U228" s="10"/>
    </row>
    <row r="229" spans="1:21">
      <c r="A229" s="6"/>
      <c r="B229" s="11" t="s">
        <v>87</v>
      </c>
      <c r="C229" s="7" t="s">
        <v>26</v>
      </c>
      <c r="D229" s="7"/>
      <c r="E229" s="7"/>
      <c r="F229" s="7">
        <f t="shared" si="34"/>
        <v>36</v>
      </c>
      <c r="G229" s="8"/>
      <c r="H229" s="7">
        <f t="shared" si="33"/>
        <v>0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9">
        <f t="shared" si="29"/>
        <v>36</v>
      </c>
      <c r="T229" s="10">
        <f t="shared" si="30"/>
        <v>0</v>
      </c>
      <c r="U229" s="10"/>
    </row>
    <row r="230" spans="1:21">
      <c r="A230" s="6"/>
      <c r="B230" s="11" t="s">
        <v>88</v>
      </c>
      <c r="C230" s="10"/>
      <c r="D230" s="7"/>
      <c r="E230" s="7"/>
      <c r="F230" s="7">
        <f t="shared" si="34"/>
        <v>267</v>
      </c>
      <c r="G230" s="8"/>
      <c r="H230" s="7">
        <f t="shared" si="33"/>
        <v>0</v>
      </c>
      <c r="I230" s="7"/>
      <c r="J230" s="7">
        <v>111</v>
      </c>
      <c r="K230" s="7"/>
      <c r="L230" s="7"/>
      <c r="M230" s="7"/>
      <c r="N230" s="7"/>
      <c r="O230" s="7"/>
      <c r="P230" s="7"/>
      <c r="Q230" s="7"/>
      <c r="R230" s="7"/>
      <c r="S230" s="9">
        <f t="shared" si="29"/>
        <v>156</v>
      </c>
      <c r="T230" s="10">
        <f t="shared" si="30"/>
        <v>0</v>
      </c>
      <c r="U230" s="10"/>
    </row>
    <row r="231" spans="1:21">
      <c r="A231" s="6"/>
      <c r="B231" s="11" t="s">
        <v>89</v>
      </c>
      <c r="C231" s="7" t="s">
        <v>26</v>
      </c>
      <c r="D231" s="7"/>
      <c r="E231" s="7"/>
      <c r="F231" s="7">
        <f t="shared" si="34"/>
        <v>642</v>
      </c>
      <c r="G231" s="8"/>
      <c r="H231" s="7">
        <f t="shared" si="33"/>
        <v>0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9">
        <f t="shared" si="29"/>
        <v>642</v>
      </c>
      <c r="T231" s="10">
        <f t="shared" si="30"/>
        <v>0</v>
      </c>
      <c r="U231" s="10"/>
    </row>
    <row r="232" spans="1:21">
      <c r="A232" s="6"/>
      <c r="B232" s="11" t="s">
        <v>90</v>
      </c>
      <c r="C232" s="7" t="s">
        <v>26</v>
      </c>
      <c r="D232" s="7"/>
      <c r="E232" s="7"/>
      <c r="F232" s="7">
        <f t="shared" si="34"/>
        <v>0</v>
      </c>
      <c r="G232" s="8"/>
      <c r="H232" s="7">
        <f t="shared" si="33"/>
        <v>0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9">
        <f t="shared" si="29"/>
        <v>0</v>
      </c>
      <c r="T232" s="10">
        <f t="shared" si="30"/>
        <v>0</v>
      </c>
      <c r="U232" s="10"/>
    </row>
    <row r="233" spans="1:21">
      <c r="A233" s="6"/>
      <c r="B233" s="11" t="s">
        <v>91</v>
      </c>
      <c r="C233" s="7" t="s">
        <v>26</v>
      </c>
      <c r="D233" s="7"/>
      <c r="E233" s="7"/>
      <c r="F233" s="7">
        <f t="shared" si="34"/>
        <v>138</v>
      </c>
      <c r="G233" s="8"/>
      <c r="H233" s="7">
        <f t="shared" si="33"/>
        <v>0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9">
        <f t="shared" si="29"/>
        <v>138</v>
      </c>
      <c r="T233" s="10">
        <f t="shared" si="30"/>
        <v>0</v>
      </c>
      <c r="U233" s="10"/>
    </row>
    <row r="234" spans="1:21">
      <c r="A234" s="6"/>
      <c r="B234" s="12" t="s">
        <v>92</v>
      </c>
      <c r="C234" s="13" t="s">
        <v>26</v>
      </c>
      <c r="D234" s="7"/>
      <c r="E234" s="7"/>
      <c r="F234" s="7">
        <f t="shared" ref="F234:F256" si="35">S149</f>
        <v>48</v>
      </c>
      <c r="G234" s="8">
        <v>1468</v>
      </c>
      <c r="H234" s="7">
        <f t="shared" si="33"/>
        <v>0</v>
      </c>
      <c r="I234" s="7"/>
      <c r="J234" s="7">
        <v>60</v>
      </c>
      <c r="K234" s="7">
        <v>144</v>
      </c>
      <c r="L234" s="7"/>
      <c r="M234" s="7"/>
      <c r="N234" s="7"/>
      <c r="O234" s="7"/>
      <c r="P234" s="7"/>
      <c r="Q234" s="7"/>
      <c r="R234" s="7"/>
      <c r="S234" s="9">
        <f t="shared" si="29"/>
        <v>1312</v>
      </c>
      <c r="T234" s="10">
        <f t="shared" si="30"/>
        <v>0</v>
      </c>
      <c r="U234" s="10"/>
    </row>
    <row r="235" spans="1:21">
      <c r="A235" s="6"/>
      <c r="B235" s="12" t="s">
        <v>93</v>
      </c>
      <c r="C235" s="13" t="s">
        <v>26</v>
      </c>
      <c r="D235" s="7"/>
      <c r="E235" s="7"/>
      <c r="F235" s="7">
        <f t="shared" si="35"/>
        <v>2464</v>
      </c>
      <c r="G235" s="8">
        <v>768</v>
      </c>
      <c r="H235" s="7">
        <f t="shared" si="33"/>
        <v>0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9">
        <f t="shared" si="29"/>
        <v>3232</v>
      </c>
      <c r="T235" s="10">
        <f t="shared" si="30"/>
        <v>0</v>
      </c>
      <c r="U235" s="10"/>
    </row>
    <row r="236" spans="1:21">
      <c r="A236" s="6"/>
      <c r="B236" s="11" t="s">
        <v>94</v>
      </c>
      <c r="C236" s="7" t="s">
        <v>41</v>
      </c>
      <c r="D236" s="7"/>
      <c r="E236" s="7"/>
      <c r="F236" s="7">
        <f t="shared" si="35"/>
        <v>0</v>
      </c>
      <c r="G236" s="8"/>
      <c r="H236" s="7">
        <f t="shared" si="33"/>
        <v>0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9">
        <f t="shared" si="29"/>
        <v>0</v>
      </c>
      <c r="T236" s="10">
        <f t="shared" si="30"/>
        <v>0</v>
      </c>
      <c r="U236" s="10"/>
    </row>
    <row r="237" spans="1:21">
      <c r="A237" s="6"/>
      <c r="B237" s="11" t="s">
        <v>95</v>
      </c>
      <c r="C237" s="7" t="s">
        <v>41</v>
      </c>
      <c r="D237" s="7"/>
      <c r="E237" s="7"/>
      <c r="F237" s="7">
        <f t="shared" si="35"/>
        <v>39</v>
      </c>
      <c r="G237" s="8"/>
      <c r="H237" s="7">
        <f t="shared" si="33"/>
        <v>0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9">
        <f t="shared" si="29"/>
        <v>39</v>
      </c>
      <c r="T237" s="10">
        <f t="shared" si="30"/>
        <v>0</v>
      </c>
      <c r="U237" s="10"/>
    </row>
    <row r="238" spans="1:21">
      <c r="A238" s="6"/>
      <c r="B238" s="11" t="s">
        <v>96</v>
      </c>
      <c r="C238" s="7" t="s">
        <v>41</v>
      </c>
      <c r="D238" s="7"/>
      <c r="E238" s="7"/>
      <c r="F238" s="7">
        <f t="shared" si="35"/>
        <v>0</v>
      </c>
      <c r="G238" s="8"/>
      <c r="H238" s="7">
        <f t="shared" si="33"/>
        <v>0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9">
        <f t="shared" si="29"/>
        <v>0</v>
      </c>
      <c r="T238" s="10">
        <f t="shared" si="30"/>
        <v>0</v>
      </c>
      <c r="U238" s="10"/>
    </row>
    <row r="239" spans="1:21">
      <c r="A239" s="6"/>
      <c r="B239" s="11" t="s">
        <v>97</v>
      </c>
      <c r="C239" s="7" t="s">
        <v>41</v>
      </c>
      <c r="D239" s="7"/>
      <c r="E239" s="7"/>
      <c r="F239" s="7">
        <f t="shared" si="35"/>
        <v>54</v>
      </c>
      <c r="G239" s="8"/>
      <c r="H239" s="7">
        <f t="shared" si="33"/>
        <v>0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9">
        <f t="shared" si="29"/>
        <v>54</v>
      </c>
      <c r="T239" s="10">
        <f t="shared" si="30"/>
        <v>0</v>
      </c>
      <c r="U239" s="10"/>
    </row>
    <row r="240" spans="1:21">
      <c r="A240" s="6"/>
      <c r="B240" s="11" t="s">
        <v>98</v>
      </c>
      <c r="C240" s="7" t="s">
        <v>26</v>
      </c>
      <c r="D240" s="7"/>
      <c r="E240" s="7"/>
      <c r="F240" s="7">
        <f t="shared" si="35"/>
        <v>840</v>
      </c>
      <c r="G240" s="8">
        <v>488</v>
      </c>
      <c r="H240" s="7">
        <f t="shared" si="33"/>
        <v>0</v>
      </c>
      <c r="I240" s="7"/>
      <c r="J240" s="7">
        <v>72</v>
      </c>
      <c r="K240" s="7"/>
      <c r="L240" s="7"/>
      <c r="M240" s="7"/>
      <c r="N240" s="7"/>
      <c r="O240" s="7"/>
      <c r="P240" s="7"/>
      <c r="Q240" s="7"/>
      <c r="R240" s="7"/>
      <c r="S240" s="9">
        <f t="shared" si="29"/>
        <v>1256</v>
      </c>
      <c r="T240" s="10">
        <f t="shared" si="30"/>
        <v>0</v>
      </c>
      <c r="U240" s="10"/>
    </row>
    <row r="241" spans="1:25">
      <c r="A241" s="6"/>
      <c r="B241" s="11" t="s">
        <v>99</v>
      </c>
      <c r="C241" s="7" t="s">
        <v>26</v>
      </c>
      <c r="D241" s="7"/>
      <c r="E241" s="7"/>
      <c r="F241" s="7">
        <f t="shared" si="35"/>
        <v>754</v>
      </c>
      <c r="G241" s="8">
        <v>288</v>
      </c>
      <c r="H241" s="7">
        <f t="shared" si="33"/>
        <v>0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9">
        <f t="shared" si="29"/>
        <v>1042</v>
      </c>
      <c r="T241" s="10">
        <f t="shared" si="30"/>
        <v>0</v>
      </c>
      <c r="U241" s="10"/>
    </row>
    <row r="242" spans="1:25">
      <c r="A242" s="6"/>
      <c r="B242" s="11" t="s">
        <v>100</v>
      </c>
      <c r="C242" s="7" t="s">
        <v>26</v>
      </c>
      <c r="D242" s="7"/>
      <c r="E242" s="7"/>
      <c r="F242" s="7">
        <f t="shared" si="35"/>
        <v>331</v>
      </c>
      <c r="G242" s="8">
        <v>245</v>
      </c>
      <c r="H242" s="7">
        <f t="shared" si="33"/>
        <v>0</v>
      </c>
      <c r="I242" s="7"/>
      <c r="J242" s="7">
        <v>48</v>
      </c>
      <c r="K242" s="7"/>
      <c r="L242" s="7"/>
      <c r="M242" s="7"/>
      <c r="N242" s="7"/>
      <c r="O242" s="7"/>
      <c r="P242" s="7"/>
      <c r="Q242" s="7"/>
      <c r="R242" s="7"/>
      <c r="S242" s="9">
        <f t="shared" si="29"/>
        <v>528</v>
      </c>
      <c r="T242" s="10">
        <f t="shared" si="30"/>
        <v>0</v>
      </c>
      <c r="U242" s="10"/>
    </row>
    <row r="243" spans="1:25">
      <c r="A243" s="6"/>
      <c r="B243" s="11" t="s">
        <v>101</v>
      </c>
      <c r="C243" s="7" t="s">
        <v>26</v>
      </c>
      <c r="D243" s="7"/>
      <c r="E243" s="7"/>
      <c r="F243" s="7">
        <f t="shared" si="35"/>
        <v>120</v>
      </c>
      <c r="G243" s="8">
        <v>120</v>
      </c>
      <c r="H243" s="7">
        <f t="shared" si="33"/>
        <v>0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9">
        <f t="shared" si="29"/>
        <v>240</v>
      </c>
      <c r="T243" s="10">
        <f t="shared" si="30"/>
        <v>0</v>
      </c>
      <c r="U243" s="10"/>
    </row>
    <row r="244" spans="1:25">
      <c r="A244" s="6"/>
      <c r="B244" s="11" t="s">
        <v>102</v>
      </c>
      <c r="C244" s="7" t="s">
        <v>26</v>
      </c>
      <c r="D244" s="7"/>
      <c r="E244" s="7"/>
      <c r="F244" s="7">
        <f t="shared" si="35"/>
        <v>1051</v>
      </c>
      <c r="G244" s="8"/>
      <c r="H244" s="7">
        <f t="shared" si="33"/>
        <v>0</v>
      </c>
      <c r="I244" s="7"/>
      <c r="J244" s="7">
        <v>24</v>
      </c>
      <c r="K244" s="7"/>
      <c r="L244" s="7"/>
      <c r="M244" s="7"/>
      <c r="N244" s="7"/>
      <c r="O244" s="7"/>
      <c r="P244" s="7"/>
      <c r="Q244" s="7"/>
      <c r="R244" s="7"/>
      <c r="S244" s="9">
        <f t="shared" si="29"/>
        <v>1027</v>
      </c>
      <c r="T244" s="10">
        <f t="shared" si="30"/>
        <v>0</v>
      </c>
      <c r="U244" s="10"/>
    </row>
    <row r="245" spans="1:25">
      <c r="A245" s="6"/>
      <c r="B245" s="11" t="s">
        <v>103</v>
      </c>
      <c r="C245" s="7" t="s">
        <v>26</v>
      </c>
      <c r="D245" s="7"/>
      <c r="E245" s="7"/>
      <c r="F245" s="7">
        <f t="shared" si="35"/>
        <v>257</v>
      </c>
      <c r="G245" s="8"/>
      <c r="H245" s="7">
        <f t="shared" si="33"/>
        <v>0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9">
        <f t="shared" si="29"/>
        <v>257</v>
      </c>
      <c r="T245" s="10">
        <f t="shared" si="30"/>
        <v>0</v>
      </c>
      <c r="U245" s="10"/>
    </row>
    <row r="246" spans="1:25">
      <c r="A246" s="6"/>
      <c r="B246" s="11"/>
      <c r="C246" s="7"/>
      <c r="D246" s="7"/>
      <c r="E246" s="7"/>
      <c r="F246" s="7">
        <f t="shared" si="35"/>
        <v>0</v>
      </c>
      <c r="G246" s="8"/>
      <c r="H246" s="7">
        <f t="shared" si="33"/>
        <v>0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9">
        <f t="shared" si="29"/>
        <v>0</v>
      </c>
      <c r="T246" s="10">
        <f t="shared" si="30"/>
        <v>0</v>
      </c>
      <c r="U246" s="10"/>
    </row>
    <row r="247" spans="1:25">
      <c r="A247" s="6"/>
      <c r="B247" s="11"/>
      <c r="C247" s="7"/>
      <c r="D247" s="7"/>
      <c r="E247" s="7"/>
      <c r="F247" s="7">
        <f t="shared" si="35"/>
        <v>0</v>
      </c>
      <c r="G247" s="8"/>
      <c r="H247" s="7">
        <f t="shared" si="33"/>
        <v>0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9">
        <f t="shared" ref="S247:S266" si="36">F247+G247-J247-K247-L247+M247+O247-P247-R247</f>
        <v>0</v>
      </c>
      <c r="T247" s="10">
        <f t="shared" ref="T247:T266" si="37">H247+I247+N247+R247-Q247</f>
        <v>0</v>
      </c>
      <c r="U247" s="10"/>
    </row>
    <row r="248" spans="1:25">
      <c r="A248" s="6"/>
      <c r="B248" s="11"/>
      <c r="C248" s="7"/>
      <c r="D248" s="7"/>
      <c r="E248" s="7"/>
      <c r="F248" s="7">
        <f t="shared" si="35"/>
        <v>0</v>
      </c>
      <c r="G248" s="8"/>
      <c r="H248" s="7">
        <f t="shared" si="33"/>
        <v>0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9">
        <f t="shared" si="36"/>
        <v>0</v>
      </c>
      <c r="T248" s="10">
        <f t="shared" si="37"/>
        <v>0</v>
      </c>
      <c r="U248" s="10"/>
    </row>
    <row r="249" spans="1:25">
      <c r="A249" s="6"/>
      <c r="B249" s="11"/>
      <c r="C249" s="7"/>
      <c r="D249" s="7"/>
      <c r="E249" s="7"/>
      <c r="F249" s="7">
        <f t="shared" si="35"/>
        <v>0</v>
      </c>
      <c r="G249" s="8"/>
      <c r="H249" s="7">
        <f t="shared" si="33"/>
        <v>0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9">
        <f t="shared" si="36"/>
        <v>0</v>
      </c>
      <c r="T249" s="10">
        <f t="shared" si="37"/>
        <v>0</v>
      </c>
      <c r="U249" s="10"/>
    </row>
    <row r="250" spans="1:25">
      <c r="A250" s="6"/>
      <c r="B250" s="11"/>
      <c r="C250" s="7"/>
      <c r="D250" s="7"/>
      <c r="E250" s="7"/>
      <c r="F250" s="7">
        <f t="shared" si="35"/>
        <v>0</v>
      </c>
      <c r="G250" s="8"/>
      <c r="H250" s="7">
        <f t="shared" si="33"/>
        <v>0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9">
        <f t="shared" si="36"/>
        <v>0</v>
      </c>
      <c r="T250" s="10">
        <f t="shared" si="37"/>
        <v>0</v>
      </c>
      <c r="U250" s="10"/>
    </row>
    <row r="251" spans="1:25">
      <c r="A251" s="6"/>
      <c r="B251" s="11"/>
      <c r="C251" s="7"/>
      <c r="D251" s="7"/>
      <c r="E251" s="7"/>
      <c r="F251" s="7">
        <f t="shared" si="35"/>
        <v>0</v>
      </c>
      <c r="G251" s="8"/>
      <c r="H251" s="7">
        <f t="shared" si="33"/>
        <v>0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9">
        <f t="shared" si="36"/>
        <v>0</v>
      </c>
      <c r="T251" s="10">
        <f t="shared" si="37"/>
        <v>0</v>
      </c>
      <c r="U251" s="10"/>
    </row>
    <row r="252" spans="1:25">
      <c r="A252" s="6"/>
      <c r="B252" s="11"/>
      <c r="C252" s="7"/>
      <c r="D252" s="7"/>
      <c r="E252" s="7"/>
      <c r="F252" s="7">
        <f t="shared" si="35"/>
        <v>0</v>
      </c>
      <c r="G252" s="8"/>
      <c r="H252" s="7">
        <f t="shared" si="33"/>
        <v>0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9">
        <f t="shared" si="36"/>
        <v>0</v>
      </c>
      <c r="T252" s="10">
        <f t="shared" si="37"/>
        <v>0</v>
      </c>
      <c r="U252" s="10"/>
    </row>
    <row r="253" spans="1:25">
      <c r="A253" s="6"/>
      <c r="B253" s="11"/>
      <c r="C253" s="7"/>
      <c r="D253" s="7"/>
      <c r="E253" s="7"/>
      <c r="F253" s="7">
        <f t="shared" si="35"/>
        <v>0</v>
      </c>
      <c r="G253" s="8"/>
      <c r="H253" s="7">
        <f t="shared" si="33"/>
        <v>0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9">
        <f t="shared" si="36"/>
        <v>0</v>
      </c>
      <c r="T253" s="10">
        <f t="shared" si="37"/>
        <v>0</v>
      </c>
      <c r="U253" s="10"/>
    </row>
    <row r="254" spans="1:25">
      <c r="A254" s="6"/>
      <c r="B254" s="11"/>
      <c r="C254" s="7"/>
      <c r="D254" s="7"/>
      <c r="E254" s="7"/>
      <c r="F254" s="7">
        <f t="shared" si="35"/>
        <v>0</v>
      </c>
      <c r="G254" s="8"/>
      <c r="H254" s="7">
        <f t="shared" si="33"/>
        <v>0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9">
        <f t="shared" si="36"/>
        <v>0</v>
      </c>
      <c r="T254" s="10">
        <f t="shared" si="37"/>
        <v>0</v>
      </c>
      <c r="U254" s="10"/>
    </row>
    <row r="255" spans="1:25">
      <c r="A255" s="6"/>
      <c r="B255" s="11"/>
      <c r="C255" s="7"/>
      <c r="D255" s="7"/>
      <c r="E255" s="7"/>
      <c r="F255" s="7">
        <f t="shared" si="35"/>
        <v>0</v>
      </c>
      <c r="G255" s="8"/>
      <c r="H255" s="7">
        <f t="shared" si="33"/>
        <v>0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9">
        <f t="shared" si="36"/>
        <v>0</v>
      </c>
      <c r="T255" s="10">
        <f t="shared" si="37"/>
        <v>0</v>
      </c>
      <c r="U255" s="10"/>
    </row>
    <row r="256" spans="1:25">
      <c r="A256" s="6"/>
      <c r="B256" s="11"/>
      <c r="C256" s="7"/>
      <c r="D256" s="7"/>
      <c r="E256" s="7"/>
      <c r="F256" s="7">
        <f t="shared" si="35"/>
        <v>0</v>
      </c>
      <c r="G256" s="8"/>
      <c r="H256" s="7">
        <f t="shared" si="33"/>
        <v>0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9">
        <f t="shared" si="36"/>
        <v>0</v>
      </c>
      <c r="T256" s="10">
        <f t="shared" si="37"/>
        <v>0</v>
      </c>
      <c r="U256" s="10"/>
      <c r="V256">
        <f>X256*0.1</f>
        <v>0</v>
      </c>
      <c r="W256">
        <f>E256*S256*1.5</f>
        <v>0</v>
      </c>
      <c r="X256">
        <f>J256+K256</f>
        <v>0</v>
      </c>
      <c r="Y256">
        <f>X256*0.13</f>
        <v>0</v>
      </c>
    </row>
    <row r="257" spans="1:25">
      <c r="A257" s="6">
        <v>46146</v>
      </c>
      <c r="B257" t="s">
        <v>25</v>
      </c>
      <c r="C257" s="7" t="s">
        <v>26</v>
      </c>
      <c r="D257" s="7"/>
      <c r="E257" s="7"/>
      <c r="F257" s="7">
        <f t="shared" ref="F256:F268" si="38">S172</f>
        <v>1999</v>
      </c>
      <c r="G257" s="8"/>
      <c r="H257" s="7">
        <f t="shared" si="33"/>
        <v>0</v>
      </c>
      <c r="I257" s="7"/>
      <c r="J257" s="7">
        <v>100</v>
      </c>
      <c r="K257" s="7"/>
      <c r="L257" s="7"/>
      <c r="M257" s="7"/>
      <c r="N257" s="7"/>
      <c r="O257" s="7"/>
      <c r="P257" s="7"/>
      <c r="Q257" s="7"/>
      <c r="R257" s="7"/>
      <c r="S257" s="9">
        <f t="shared" si="36"/>
        <v>1899</v>
      </c>
      <c r="T257" s="10">
        <f t="shared" si="37"/>
        <v>0</v>
      </c>
      <c r="U257" s="10"/>
      <c r="V257">
        <f t="shared" ref="V257:V263" si="39">X257*0.1</f>
        <v>10</v>
      </c>
      <c r="W257">
        <f t="shared" ref="W257:W263" si="40">E257*S257*1.5</f>
        <v>0</v>
      </c>
      <c r="X257">
        <f t="shared" ref="X257:X263" si="41">J257+K257</f>
        <v>100</v>
      </c>
      <c r="Y257">
        <f t="shared" ref="Y257:Y263" si="42">X257*0.13</f>
        <v>13</v>
      </c>
    </row>
    <row r="258" spans="1:25">
      <c r="A258" s="6"/>
      <c r="B258" t="s">
        <v>27</v>
      </c>
      <c r="C258" s="7" t="s">
        <v>26</v>
      </c>
      <c r="D258" s="7"/>
      <c r="E258" s="7"/>
      <c r="F258" s="7">
        <f t="shared" si="38"/>
        <v>492</v>
      </c>
      <c r="G258" s="8"/>
      <c r="H258" s="7">
        <f t="shared" si="33"/>
        <v>0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9">
        <f t="shared" si="36"/>
        <v>492</v>
      </c>
      <c r="T258" s="10">
        <f t="shared" si="37"/>
        <v>0</v>
      </c>
      <c r="U258" s="10"/>
      <c r="V258">
        <f t="shared" si="39"/>
        <v>0</v>
      </c>
      <c r="W258">
        <f t="shared" si="40"/>
        <v>0</v>
      </c>
      <c r="X258">
        <f t="shared" si="41"/>
        <v>0</v>
      </c>
      <c r="Y258">
        <f t="shared" si="42"/>
        <v>0</v>
      </c>
    </row>
    <row r="259" spans="1:25">
      <c r="A259" s="6"/>
      <c r="B259" s="6" t="s">
        <v>28</v>
      </c>
      <c r="C259" s="7" t="s">
        <v>26</v>
      </c>
      <c r="D259" s="7"/>
      <c r="E259" s="7"/>
      <c r="F259" s="7">
        <f t="shared" si="38"/>
        <v>1826</v>
      </c>
      <c r="G259" s="8"/>
      <c r="H259" s="7">
        <f t="shared" si="33"/>
        <v>0</v>
      </c>
      <c r="I259" s="7"/>
      <c r="J259" s="7">
        <v>65</v>
      </c>
      <c r="K259" s="7"/>
      <c r="L259" s="7"/>
      <c r="M259" s="7"/>
      <c r="N259" s="7"/>
      <c r="O259" s="7"/>
      <c r="P259" s="7"/>
      <c r="Q259" s="7"/>
      <c r="R259" s="7"/>
      <c r="S259" s="9">
        <f t="shared" si="36"/>
        <v>1761</v>
      </c>
      <c r="T259" s="10">
        <f t="shared" si="37"/>
        <v>0</v>
      </c>
      <c r="U259" s="10"/>
      <c r="V259">
        <f t="shared" si="39"/>
        <v>6.5</v>
      </c>
      <c r="W259">
        <f t="shared" si="40"/>
        <v>0</v>
      </c>
      <c r="X259">
        <f t="shared" si="41"/>
        <v>65</v>
      </c>
      <c r="Y259">
        <f t="shared" si="42"/>
        <v>8.45</v>
      </c>
    </row>
    <row r="260" spans="1:25">
      <c r="A260" s="6"/>
      <c r="B260" s="6" t="s">
        <v>29</v>
      </c>
      <c r="C260" s="7" t="s">
        <v>26</v>
      </c>
      <c r="D260" s="7"/>
      <c r="E260" s="7"/>
      <c r="F260" s="7">
        <f t="shared" si="38"/>
        <v>163</v>
      </c>
      <c r="G260" s="8"/>
      <c r="H260" s="7">
        <f t="shared" si="33"/>
        <v>0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9">
        <f t="shared" si="36"/>
        <v>163</v>
      </c>
      <c r="T260" s="10">
        <f t="shared" si="37"/>
        <v>0</v>
      </c>
      <c r="U260" s="10"/>
      <c r="V260">
        <f t="shared" si="39"/>
        <v>0</v>
      </c>
      <c r="W260">
        <f t="shared" si="40"/>
        <v>0</v>
      </c>
      <c r="X260">
        <f t="shared" si="41"/>
        <v>0</v>
      </c>
      <c r="Y260">
        <f t="shared" si="42"/>
        <v>0</v>
      </c>
    </row>
    <row r="261" spans="1:25">
      <c r="A261" s="6"/>
      <c r="B261" s="6" t="s">
        <v>30</v>
      </c>
      <c r="C261" s="7" t="s">
        <v>26</v>
      </c>
      <c r="D261" s="7"/>
      <c r="E261" s="7"/>
      <c r="F261" s="7">
        <f t="shared" si="38"/>
        <v>493</v>
      </c>
      <c r="G261" s="8"/>
      <c r="H261" s="7">
        <f t="shared" si="33"/>
        <v>0</v>
      </c>
      <c r="I261" s="7"/>
      <c r="J261" s="7">
        <v>60</v>
      </c>
      <c r="K261" s="7"/>
      <c r="L261" s="7"/>
      <c r="M261" s="7"/>
      <c r="N261" s="7"/>
      <c r="O261" s="7"/>
      <c r="P261" s="7"/>
      <c r="Q261" s="7"/>
      <c r="R261" s="7"/>
      <c r="S261" s="9">
        <f t="shared" si="36"/>
        <v>433</v>
      </c>
      <c r="T261" s="10">
        <f t="shared" si="37"/>
        <v>0</v>
      </c>
      <c r="U261" s="10"/>
      <c r="V261">
        <f t="shared" si="39"/>
        <v>6</v>
      </c>
      <c r="W261">
        <f t="shared" si="40"/>
        <v>0</v>
      </c>
      <c r="X261">
        <f t="shared" si="41"/>
        <v>60</v>
      </c>
      <c r="Y261">
        <f t="shared" si="42"/>
        <v>7.8</v>
      </c>
    </row>
    <row r="262" spans="1:25">
      <c r="A262" s="6"/>
      <c r="B262" s="6" t="s">
        <v>31</v>
      </c>
      <c r="C262" s="7" t="s">
        <v>26</v>
      </c>
      <c r="D262" s="7"/>
      <c r="E262" s="7"/>
      <c r="F262" s="7">
        <f t="shared" si="38"/>
        <v>484</v>
      </c>
      <c r="G262" s="8"/>
      <c r="H262" s="7">
        <f t="shared" si="33"/>
        <v>0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9">
        <f t="shared" si="36"/>
        <v>484</v>
      </c>
      <c r="T262" s="10">
        <f t="shared" si="37"/>
        <v>0</v>
      </c>
      <c r="U262" s="10"/>
      <c r="V262">
        <f t="shared" si="39"/>
        <v>0</v>
      </c>
      <c r="W262">
        <f t="shared" si="40"/>
        <v>0</v>
      </c>
      <c r="X262">
        <f t="shared" si="41"/>
        <v>0</v>
      </c>
      <c r="Y262">
        <f t="shared" si="42"/>
        <v>0</v>
      </c>
    </row>
    <row r="263" spans="1:25">
      <c r="A263" s="6"/>
      <c r="B263" s="6" t="s">
        <v>32</v>
      </c>
      <c r="C263" s="7" t="s">
        <v>26</v>
      </c>
      <c r="D263" s="7"/>
      <c r="E263" s="7"/>
      <c r="F263" s="7">
        <f t="shared" si="38"/>
        <v>1049</v>
      </c>
      <c r="G263" s="8"/>
      <c r="H263" s="7">
        <f t="shared" si="33"/>
        <v>0</v>
      </c>
      <c r="I263" s="7"/>
      <c r="J263" s="7">
        <v>60</v>
      </c>
      <c r="K263" s="7"/>
      <c r="L263" s="7"/>
      <c r="M263" s="7">
        <v>1</v>
      </c>
      <c r="N263" s="7"/>
      <c r="O263" s="7"/>
      <c r="P263" s="7"/>
      <c r="Q263" s="7"/>
      <c r="R263" s="7"/>
      <c r="S263" s="9">
        <f t="shared" si="36"/>
        <v>990</v>
      </c>
      <c r="T263" s="10">
        <f t="shared" si="37"/>
        <v>0</v>
      </c>
      <c r="U263" s="10"/>
      <c r="V263">
        <f t="shared" si="39"/>
        <v>6</v>
      </c>
      <c r="W263">
        <f t="shared" si="40"/>
        <v>0</v>
      </c>
      <c r="X263">
        <f t="shared" si="41"/>
        <v>60</v>
      </c>
      <c r="Y263">
        <f t="shared" si="42"/>
        <v>7.8</v>
      </c>
    </row>
    <row r="264" spans="1:25">
      <c r="A264" s="6"/>
      <c r="B264" s="6" t="s">
        <v>33</v>
      </c>
      <c r="C264" s="7" t="s">
        <v>26</v>
      </c>
      <c r="D264" s="7"/>
      <c r="E264" s="7"/>
      <c r="F264" s="7">
        <f t="shared" si="38"/>
        <v>1096</v>
      </c>
      <c r="G264" s="8"/>
      <c r="H264" s="7">
        <f t="shared" si="33"/>
        <v>0</v>
      </c>
      <c r="I264" s="7"/>
      <c r="J264" s="7"/>
      <c r="K264" s="7"/>
      <c r="L264" s="7"/>
      <c r="M264" s="7">
        <v>24</v>
      </c>
      <c r="N264" s="7"/>
      <c r="O264" s="7"/>
      <c r="P264" s="7"/>
      <c r="Q264" s="7"/>
      <c r="R264" s="7"/>
      <c r="S264" s="9">
        <f t="shared" si="36"/>
        <v>1120</v>
      </c>
      <c r="T264" s="10">
        <f t="shared" si="37"/>
        <v>0</v>
      </c>
      <c r="U264" s="10"/>
    </row>
    <row r="265" spans="1:25">
      <c r="A265" s="6"/>
      <c r="B265" s="11" t="s">
        <v>34</v>
      </c>
      <c r="C265" s="7" t="s">
        <v>26</v>
      </c>
      <c r="D265" s="7"/>
      <c r="E265" s="7"/>
      <c r="F265" s="7">
        <f t="shared" si="38"/>
        <v>17</v>
      </c>
      <c r="G265" s="8"/>
      <c r="H265" s="7">
        <f t="shared" si="33"/>
        <v>0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9">
        <f t="shared" si="36"/>
        <v>17</v>
      </c>
      <c r="T265" s="10">
        <f t="shared" si="37"/>
        <v>0</v>
      </c>
      <c r="U265" s="10"/>
    </row>
    <row r="266" spans="1:25">
      <c r="A266" s="6"/>
      <c r="B266" s="11" t="s">
        <v>35</v>
      </c>
      <c r="C266" s="7" t="s">
        <v>26</v>
      </c>
      <c r="D266" s="7"/>
      <c r="E266" s="7"/>
      <c r="F266" s="7">
        <f t="shared" si="38"/>
        <v>120</v>
      </c>
      <c r="G266" s="8"/>
      <c r="H266" s="7">
        <f t="shared" si="33"/>
        <v>0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9">
        <f t="shared" si="36"/>
        <v>120</v>
      </c>
      <c r="T266" s="10">
        <f t="shared" si="37"/>
        <v>0</v>
      </c>
      <c r="U266" s="10"/>
    </row>
    <row r="267" spans="1:25">
      <c r="A267" s="6"/>
      <c r="B267" s="11" t="s">
        <v>36</v>
      </c>
      <c r="C267" s="7" t="s">
        <v>26</v>
      </c>
      <c r="D267" s="7"/>
      <c r="E267" s="7"/>
      <c r="F267" s="7">
        <f t="shared" si="38"/>
        <v>0</v>
      </c>
      <c r="G267" s="8"/>
      <c r="H267" s="7">
        <f t="shared" si="33"/>
        <v>0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9">
        <f t="shared" ref="S267:S306" si="43">F267+G267-J267-K267-L267+M267+O267-P267-R267</f>
        <v>0</v>
      </c>
      <c r="T267" s="10">
        <f t="shared" ref="T267:T306" si="44">H267+I267+N267+R267-Q267</f>
        <v>0</v>
      </c>
      <c r="U267" s="10"/>
    </row>
    <row r="268" spans="1:25">
      <c r="A268" s="6"/>
      <c r="B268" s="11" t="s">
        <v>37</v>
      </c>
      <c r="C268" s="7" t="s">
        <v>26</v>
      </c>
      <c r="D268" s="7"/>
      <c r="E268" s="7"/>
      <c r="F268" s="7">
        <f t="shared" si="38"/>
        <v>24</v>
      </c>
      <c r="G268" s="8"/>
      <c r="H268" s="7">
        <f t="shared" ref="H268:H331" si="45">T183</f>
        <v>0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9">
        <f t="shared" si="43"/>
        <v>24</v>
      </c>
      <c r="T268" s="10">
        <f t="shared" si="44"/>
        <v>0</v>
      </c>
      <c r="U268" s="10"/>
    </row>
    <row r="269" spans="1:25">
      <c r="A269" s="6"/>
      <c r="B269" s="11" t="s">
        <v>38</v>
      </c>
      <c r="C269" s="7" t="s">
        <v>26</v>
      </c>
      <c r="D269" s="7"/>
      <c r="E269" s="7"/>
      <c r="F269" s="7">
        <f t="shared" ref="F269:F300" si="46">S184</f>
        <v>0</v>
      </c>
      <c r="G269" s="8"/>
      <c r="H269" s="7">
        <f t="shared" si="45"/>
        <v>0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9">
        <f t="shared" si="43"/>
        <v>0</v>
      </c>
      <c r="T269" s="10">
        <f t="shared" si="44"/>
        <v>0</v>
      </c>
      <c r="U269" s="10"/>
    </row>
    <row r="270" spans="1:25">
      <c r="A270" s="6"/>
      <c r="B270" s="11" t="s">
        <v>39</v>
      </c>
      <c r="C270" s="7" t="s">
        <v>26</v>
      </c>
      <c r="D270" s="7"/>
      <c r="E270" s="7"/>
      <c r="F270" s="7">
        <f t="shared" si="46"/>
        <v>292</v>
      </c>
      <c r="G270" s="8"/>
      <c r="H270" s="7">
        <f t="shared" si="45"/>
        <v>0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9">
        <f t="shared" si="43"/>
        <v>292</v>
      </c>
      <c r="T270" s="10">
        <f t="shared" si="44"/>
        <v>0</v>
      </c>
      <c r="U270" s="10"/>
    </row>
    <row r="271" spans="1:25">
      <c r="A271" s="6"/>
      <c r="B271" s="11" t="s">
        <v>40</v>
      </c>
      <c r="C271" s="7" t="s">
        <v>41</v>
      </c>
      <c r="D271" s="7"/>
      <c r="E271" s="7"/>
      <c r="F271" s="7">
        <f t="shared" si="46"/>
        <v>0</v>
      </c>
      <c r="G271" s="8"/>
      <c r="H271" s="7">
        <f t="shared" si="45"/>
        <v>0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9">
        <f t="shared" si="43"/>
        <v>0</v>
      </c>
      <c r="T271" s="10">
        <f t="shared" si="44"/>
        <v>0</v>
      </c>
      <c r="U271" s="10"/>
    </row>
    <row r="272" spans="1:25">
      <c r="A272" s="6"/>
      <c r="B272" s="11" t="s">
        <v>42</v>
      </c>
      <c r="C272" s="7" t="s">
        <v>41</v>
      </c>
      <c r="D272" s="7"/>
      <c r="E272" s="7"/>
      <c r="F272" s="7">
        <f t="shared" si="46"/>
        <v>53</v>
      </c>
      <c r="G272" s="8"/>
      <c r="H272" s="7">
        <f t="shared" si="45"/>
        <v>0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9">
        <f t="shared" si="43"/>
        <v>53</v>
      </c>
      <c r="T272" s="10">
        <f t="shared" si="44"/>
        <v>0</v>
      </c>
      <c r="U272" s="10"/>
    </row>
    <row r="273" spans="1:21">
      <c r="A273" s="6"/>
      <c r="B273" s="11" t="s">
        <v>43</v>
      </c>
      <c r="C273" s="7" t="s">
        <v>41</v>
      </c>
      <c r="D273" s="7"/>
      <c r="E273" s="7"/>
      <c r="F273" s="7">
        <f t="shared" si="46"/>
        <v>0</v>
      </c>
      <c r="G273" s="8"/>
      <c r="H273" s="7">
        <f t="shared" si="45"/>
        <v>0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9">
        <f t="shared" si="43"/>
        <v>0</v>
      </c>
      <c r="T273" s="10">
        <f t="shared" si="44"/>
        <v>0</v>
      </c>
      <c r="U273" s="10"/>
    </row>
    <row r="274" spans="1:21">
      <c r="A274" s="6"/>
      <c r="B274" s="11" t="s">
        <v>44</v>
      </c>
      <c r="C274" s="7" t="s">
        <v>41</v>
      </c>
      <c r="D274" s="7"/>
      <c r="E274" s="7"/>
      <c r="F274" s="7">
        <f t="shared" si="46"/>
        <v>75</v>
      </c>
      <c r="G274" s="8"/>
      <c r="H274" s="7">
        <f t="shared" si="45"/>
        <v>0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9">
        <f t="shared" si="43"/>
        <v>75</v>
      </c>
      <c r="T274" s="10">
        <f t="shared" si="44"/>
        <v>0</v>
      </c>
      <c r="U274" s="10"/>
    </row>
    <row r="275" spans="1:21">
      <c r="A275" s="6"/>
      <c r="B275" s="11" t="s">
        <v>45</v>
      </c>
      <c r="C275" s="7" t="s">
        <v>41</v>
      </c>
      <c r="D275" s="7"/>
      <c r="E275" s="7"/>
      <c r="F275" s="7">
        <f t="shared" si="46"/>
        <v>0</v>
      </c>
      <c r="G275" s="8"/>
      <c r="H275" s="7">
        <f t="shared" si="45"/>
        <v>0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9">
        <f t="shared" si="43"/>
        <v>0</v>
      </c>
      <c r="T275" s="10">
        <f t="shared" si="44"/>
        <v>0</v>
      </c>
      <c r="U275" s="10"/>
    </row>
    <row r="276" spans="1:21">
      <c r="A276" s="6"/>
      <c r="B276" s="11" t="s">
        <v>46</v>
      </c>
      <c r="C276" s="7" t="s">
        <v>41</v>
      </c>
      <c r="D276" s="7"/>
      <c r="E276" s="7"/>
      <c r="F276" s="7">
        <f t="shared" si="46"/>
        <v>17</v>
      </c>
      <c r="G276" s="8"/>
      <c r="H276" s="7">
        <f t="shared" si="45"/>
        <v>0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9">
        <f t="shared" si="43"/>
        <v>17</v>
      </c>
      <c r="T276" s="10">
        <f t="shared" si="44"/>
        <v>0</v>
      </c>
      <c r="U276" s="10"/>
    </row>
    <row r="277" spans="1:21">
      <c r="A277" s="6"/>
      <c r="B277" s="11" t="s">
        <v>47</v>
      </c>
      <c r="C277" s="7" t="s">
        <v>26</v>
      </c>
      <c r="D277" s="7"/>
      <c r="E277" s="7"/>
      <c r="F277" s="7">
        <f t="shared" si="46"/>
        <v>398</v>
      </c>
      <c r="G277" s="8"/>
      <c r="H277" s="7">
        <f t="shared" si="45"/>
        <v>0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9">
        <f t="shared" si="43"/>
        <v>398</v>
      </c>
      <c r="T277" s="10">
        <f t="shared" si="44"/>
        <v>0</v>
      </c>
      <c r="U277" s="10"/>
    </row>
    <row r="278" spans="1:21">
      <c r="A278" s="6"/>
      <c r="B278" s="11" t="s">
        <v>48</v>
      </c>
      <c r="C278" s="7" t="s">
        <v>26</v>
      </c>
      <c r="D278" s="7"/>
      <c r="E278" s="7"/>
      <c r="F278" s="7">
        <f t="shared" si="46"/>
        <v>49818</v>
      </c>
      <c r="G278" s="8"/>
      <c r="H278" s="7">
        <f t="shared" si="45"/>
        <v>0</v>
      </c>
      <c r="I278" s="7"/>
      <c r="J278" s="7">
        <v>1350</v>
      </c>
      <c r="K278" s="7"/>
      <c r="L278" s="7"/>
      <c r="M278" s="7">
        <v>141</v>
      </c>
      <c r="N278" s="7"/>
      <c r="O278" s="7"/>
      <c r="P278" s="7"/>
      <c r="Q278" s="7"/>
      <c r="R278" s="7"/>
      <c r="S278" s="9">
        <f t="shared" si="43"/>
        <v>48609</v>
      </c>
      <c r="T278" s="10">
        <f t="shared" si="44"/>
        <v>0</v>
      </c>
      <c r="U278" s="10" t="s">
        <v>107</v>
      </c>
    </row>
    <row r="279" spans="1:21">
      <c r="A279" s="6"/>
      <c r="B279" s="11" t="s">
        <v>50</v>
      </c>
      <c r="C279" s="7" t="s">
        <v>26</v>
      </c>
      <c r="D279" s="7"/>
      <c r="E279" s="7"/>
      <c r="F279" s="7">
        <f t="shared" si="46"/>
        <v>0</v>
      </c>
      <c r="G279" s="8"/>
      <c r="H279" s="7">
        <f t="shared" si="45"/>
        <v>0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9">
        <f t="shared" si="43"/>
        <v>0</v>
      </c>
      <c r="T279" s="10">
        <f t="shared" si="44"/>
        <v>0</v>
      </c>
      <c r="U279" s="10"/>
    </row>
    <row r="280" spans="1:21">
      <c r="A280" s="6"/>
      <c r="B280" s="11" t="s">
        <v>51</v>
      </c>
      <c r="C280" s="7" t="s">
        <v>26</v>
      </c>
      <c r="D280" s="7"/>
      <c r="E280" s="7"/>
      <c r="F280" s="7">
        <f t="shared" si="46"/>
        <v>300</v>
      </c>
      <c r="G280" s="8"/>
      <c r="H280" s="7">
        <f t="shared" si="45"/>
        <v>0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9">
        <f t="shared" si="43"/>
        <v>300</v>
      </c>
      <c r="T280" s="10">
        <f t="shared" si="44"/>
        <v>0</v>
      </c>
      <c r="U280" s="10"/>
    </row>
    <row r="281" spans="1:21">
      <c r="A281" s="6"/>
      <c r="B281" s="11" t="s">
        <v>52</v>
      </c>
      <c r="C281" s="7" t="s">
        <v>26</v>
      </c>
      <c r="D281" s="7"/>
      <c r="E281" s="7"/>
      <c r="F281" s="7">
        <f t="shared" si="46"/>
        <v>16894</v>
      </c>
      <c r="G281" s="8"/>
      <c r="H281" s="7">
        <f t="shared" si="45"/>
        <v>0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9">
        <f t="shared" si="43"/>
        <v>16894</v>
      </c>
      <c r="T281" s="10">
        <f t="shared" si="44"/>
        <v>0</v>
      </c>
      <c r="U281" s="10"/>
    </row>
    <row r="282" spans="1:21">
      <c r="A282" s="6"/>
      <c r="B282" s="11" t="s">
        <v>53</v>
      </c>
      <c r="C282" s="7" t="s">
        <v>54</v>
      </c>
      <c r="D282" s="7"/>
      <c r="E282" s="7"/>
      <c r="F282" s="7">
        <f t="shared" si="46"/>
        <v>0</v>
      </c>
      <c r="G282" s="8"/>
      <c r="H282" s="7">
        <f t="shared" si="45"/>
        <v>0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9">
        <f t="shared" si="43"/>
        <v>0</v>
      </c>
      <c r="T282" s="10">
        <f t="shared" si="44"/>
        <v>0</v>
      </c>
      <c r="U282" s="10"/>
    </row>
    <row r="283" spans="1:21">
      <c r="A283" s="6"/>
      <c r="B283" s="11" t="s">
        <v>55</v>
      </c>
      <c r="C283" s="7" t="s">
        <v>54</v>
      </c>
      <c r="D283" s="7"/>
      <c r="E283" s="7"/>
      <c r="F283" s="7">
        <f t="shared" si="46"/>
        <v>15</v>
      </c>
      <c r="G283" s="8"/>
      <c r="H283" s="7">
        <f t="shared" si="45"/>
        <v>0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9">
        <f t="shared" si="43"/>
        <v>15</v>
      </c>
      <c r="T283" s="10">
        <f t="shared" si="44"/>
        <v>0</v>
      </c>
      <c r="U283" s="10"/>
    </row>
    <row r="284" spans="1:21">
      <c r="A284" s="6"/>
      <c r="B284" s="11" t="s">
        <v>56</v>
      </c>
      <c r="C284" s="7" t="s">
        <v>54</v>
      </c>
      <c r="D284" s="7"/>
      <c r="E284" s="7"/>
      <c r="F284" s="7">
        <f t="shared" si="46"/>
        <v>1416</v>
      </c>
      <c r="G284" s="8"/>
      <c r="H284" s="7">
        <f t="shared" si="45"/>
        <v>0</v>
      </c>
      <c r="I284" s="7"/>
      <c r="J284" s="7">
        <v>171</v>
      </c>
      <c r="K284" s="7"/>
      <c r="L284" s="7"/>
      <c r="M284" s="7"/>
      <c r="N284" s="7"/>
      <c r="O284" s="7"/>
      <c r="P284" s="7"/>
      <c r="Q284" s="7"/>
      <c r="R284" s="7"/>
      <c r="S284" s="9">
        <f t="shared" si="43"/>
        <v>1245</v>
      </c>
      <c r="T284" s="10">
        <f t="shared" si="44"/>
        <v>0</v>
      </c>
      <c r="U284" s="10"/>
    </row>
    <row r="285" spans="1:21">
      <c r="A285" s="6"/>
      <c r="B285" s="11" t="s">
        <v>57</v>
      </c>
      <c r="C285" s="7" t="s">
        <v>54</v>
      </c>
      <c r="D285" s="7"/>
      <c r="E285" s="7"/>
      <c r="F285" s="7">
        <f t="shared" si="46"/>
        <v>367</v>
      </c>
      <c r="G285" s="8"/>
      <c r="H285" s="7">
        <f t="shared" si="45"/>
        <v>0</v>
      </c>
      <c r="I285" s="7"/>
      <c r="J285" s="7"/>
      <c r="K285" s="7"/>
      <c r="L285" s="7"/>
      <c r="M285" s="7">
        <v>23</v>
      </c>
      <c r="N285" s="7"/>
      <c r="O285" s="7"/>
      <c r="P285" s="7"/>
      <c r="Q285" s="7"/>
      <c r="R285" s="7"/>
      <c r="S285" s="9">
        <f t="shared" si="43"/>
        <v>390</v>
      </c>
      <c r="T285" s="10">
        <f t="shared" si="44"/>
        <v>0</v>
      </c>
      <c r="U285" s="10"/>
    </row>
    <row r="286" spans="1:21">
      <c r="A286" s="6"/>
      <c r="B286" s="11" t="s">
        <v>58</v>
      </c>
      <c r="C286" s="7" t="s">
        <v>54</v>
      </c>
      <c r="D286" s="7"/>
      <c r="E286" s="7"/>
      <c r="F286" s="7">
        <f t="shared" si="46"/>
        <v>0</v>
      </c>
      <c r="G286" s="8"/>
      <c r="H286" s="7">
        <f t="shared" si="45"/>
        <v>0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9">
        <f t="shared" si="43"/>
        <v>0</v>
      </c>
      <c r="T286" s="10">
        <f t="shared" si="44"/>
        <v>0</v>
      </c>
      <c r="U286" s="10"/>
    </row>
    <row r="287" spans="1:21">
      <c r="A287" s="6"/>
      <c r="B287" s="11" t="s">
        <v>59</v>
      </c>
      <c r="C287" s="7" t="s">
        <v>54</v>
      </c>
      <c r="D287" s="7"/>
      <c r="E287" s="7"/>
      <c r="F287" s="7">
        <f t="shared" si="46"/>
        <v>19</v>
      </c>
      <c r="G287" s="8"/>
      <c r="H287" s="7">
        <f t="shared" si="45"/>
        <v>0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9">
        <f t="shared" si="43"/>
        <v>19</v>
      </c>
      <c r="T287" s="10">
        <f t="shared" si="44"/>
        <v>0</v>
      </c>
      <c r="U287" s="10"/>
    </row>
    <row r="288" spans="1:21">
      <c r="A288" s="6"/>
      <c r="B288" s="11" t="s">
        <v>60</v>
      </c>
      <c r="C288" s="7" t="s">
        <v>61</v>
      </c>
      <c r="D288" s="7"/>
      <c r="E288" s="7"/>
      <c r="F288" s="7">
        <f t="shared" si="46"/>
        <v>0</v>
      </c>
      <c r="G288" s="8"/>
      <c r="H288" s="7">
        <f t="shared" si="45"/>
        <v>0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9">
        <f t="shared" si="43"/>
        <v>0</v>
      </c>
      <c r="T288" s="10">
        <f t="shared" si="44"/>
        <v>0</v>
      </c>
      <c r="U288" s="10"/>
    </row>
    <row r="289" spans="1:21">
      <c r="A289" s="6"/>
      <c r="B289" s="11" t="s">
        <v>62</v>
      </c>
      <c r="C289" s="7" t="s">
        <v>61</v>
      </c>
      <c r="D289" s="7"/>
      <c r="E289" s="7"/>
      <c r="F289" s="7">
        <f t="shared" si="46"/>
        <v>11</v>
      </c>
      <c r="G289" s="8"/>
      <c r="H289" s="7">
        <f t="shared" si="45"/>
        <v>0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9">
        <f t="shared" si="43"/>
        <v>11</v>
      </c>
      <c r="T289" s="10">
        <f t="shared" si="44"/>
        <v>0</v>
      </c>
      <c r="U289" s="10"/>
    </row>
    <row r="290" spans="1:21">
      <c r="A290" s="6"/>
      <c r="B290" s="10" t="s">
        <v>63</v>
      </c>
      <c r="C290" s="10" t="s">
        <v>41</v>
      </c>
      <c r="D290" s="7"/>
      <c r="E290" s="7"/>
      <c r="F290" s="7">
        <f t="shared" si="46"/>
        <v>0</v>
      </c>
      <c r="G290" s="8"/>
      <c r="H290" s="7">
        <f t="shared" si="45"/>
        <v>0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9">
        <f t="shared" si="43"/>
        <v>0</v>
      </c>
      <c r="T290" s="10">
        <f t="shared" si="44"/>
        <v>0</v>
      </c>
      <c r="U290" s="10"/>
    </row>
    <row r="291" spans="1:21">
      <c r="A291" s="6"/>
      <c r="B291" s="10" t="s">
        <v>64</v>
      </c>
      <c r="C291" s="10" t="s">
        <v>41</v>
      </c>
      <c r="D291" s="7"/>
      <c r="E291" s="7"/>
      <c r="F291" s="7">
        <f t="shared" si="46"/>
        <v>5</v>
      </c>
      <c r="G291" s="8"/>
      <c r="H291" s="7">
        <f t="shared" si="45"/>
        <v>0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9">
        <f t="shared" si="43"/>
        <v>5</v>
      </c>
      <c r="T291" s="10">
        <f t="shared" si="44"/>
        <v>0</v>
      </c>
      <c r="U291" s="10"/>
    </row>
    <row r="292" spans="1:21">
      <c r="A292" s="6"/>
      <c r="B292" s="11" t="s">
        <v>65</v>
      </c>
      <c r="C292" s="7" t="s">
        <v>26</v>
      </c>
      <c r="D292" s="7"/>
      <c r="E292" s="7"/>
      <c r="F292" s="7">
        <f t="shared" ref="F292:F310" si="47">S207</f>
        <v>0</v>
      </c>
      <c r="G292" s="8"/>
      <c r="H292" s="7">
        <f t="shared" si="45"/>
        <v>0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9">
        <f t="shared" si="43"/>
        <v>0</v>
      </c>
      <c r="T292" s="10">
        <f t="shared" si="44"/>
        <v>0</v>
      </c>
      <c r="U292" s="10"/>
    </row>
    <row r="293" spans="1:21">
      <c r="A293" s="6"/>
      <c r="B293" s="11" t="s">
        <v>66</v>
      </c>
      <c r="C293" s="7" t="s">
        <v>26</v>
      </c>
      <c r="D293" s="7"/>
      <c r="E293" s="7"/>
      <c r="F293" s="7">
        <f t="shared" si="47"/>
        <v>71</v>
      </c>
      <c r="G293" s="8"/>
      <c r="H293" s="7">
        <f t="shared" si="45"/>
        <v>0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9">
        <f t="shared" si="43"/>
        <v>71</v>
      </c>
      <c r="T293" s="10">
        <f t="shared" si="44"/>
        <v>0</v>
      </c>
      <c r="U293" s="10"/>
    </row>
    <row r="294" spans="1:21">
      <c r="A294" s="6"/>
      <c r="B294" s="11" t="s">
        <v>67</v>
      </c>
      <c r="C294" s="7" t="s">
        <v>26</v>
      </c>
      <c r="D294" s="7"/>
      <c r="E294" s="7"/>
      <c r="F294" s="7">
        <f t="shared" si="47"/>
        <v>0</v>
      </c>
      <c r="G294" s="8"/>
      <c r="H294" s="7">
        <f t="shared" si="45"/>
        <v>0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9">
        <f t="shared" si="43"/>
        <v>0</v>
      </c>
      <c r="T294" s="10">
        <f t="shared" si="44"/>
        <v>0</v>
      </c>
      <c r="U294" s="10"/>
    </row>
    <row r="295" spans="1:21">
      <c r="A295" s="6"/>
      <c r="B295" s="11" t="s">
        <v>68</v>
      </c>
      <c r="C295" s="7" t="s">
        <v>26</v>
      </c>
      <c r="D295" s="7"/>
      <c r="E295" s="7"/>
      <c r="F295" s="7">
        <f t="shared" si="47"/>
        <v>7</v>
      </c>
      <c r="G295" s="8"/>
      <c r="H295" s="7">
        <f t="shared" si="45"/>
        <v>0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9">
        <f t="shared" si="43"/>
        <v>7</v>
      </c>
      <c r="T295" s="10">
        <f t="shared" si="44"/>
        <v>0</v>
      </c>
      <c r="U295" s="10"/>
    </row>
    <row r="296" spans="1:21">
      <c r="A296" s="6"/>
      <c r="B296" s="11" t="s">
        <v>69</v>
      </c>
      <c r="C296" s="7" t="s">
        <v>41</v>
      </c>
      <c r="D296" s="7"/>
      <c r="E296" s="7"/>
      <c r="F296" s="7">
        <f t="shared" si="47"/>
        <v>0</v>
      </c>
      <c r="G296" s="8"/>
      <c r="H296" s="7">
        <f t="shared" si="45"/>
        <v>0</v>
      </c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9">
        <f t="shared" si="43"/>
        <v>0</v>
      </c>
      <c r="T296" s="10">
        <f t="shared" si="44"/>
        <v>0</v>
      </c>
      <c r="U296" s="10"/>
    </row>
    <row r="297" spans="1:21">
      <c r="A297" s="6"/>
      <c r="B297" s="11" t="s">
        <v>70</v>
      </c>
      <c r="C297" s="7" t="s">
        <v>41</v>
      </c>
      <c r="D297" s="7"/>
      <c r="E297" s="7"/>
      <c r="F297" s="7">
        <f t="shared" si="47"/>
        <v>13</v>
      </c>
      <c r="G297" s="8"/>
      <c r="H297" s="7">
        <f t="shared" si="45"/>
        <v>0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9">
        <f t="shared" si="43"/>
        <v>13</v>
      </c>
      <c r="T297" s="10">
        <f t="shared" si="44"/>
        <v>0</v>
      </c>
      <c r="U297" s="10"/>
    </row>
    <row r="298" spans="1:21">
      <c r="A298" s="6"/>
      <c r="B298" s="11" t="s">
        <v>71</v>
      </c>
      <c r="C298" s="7" t="s">
        <v>61</v>
      </c>
      <c r="D298" s="7"/>
      <c r="E298" s="7"/>
      <c r="F298" s="7">
        <f t="shared" si="47"/>
        <v>0</v>
      </c>
      <c r="G298" s="8"/>
      <c r="H298" s="7">
        <f t="shared" si="45"/>
        <v>0</v>
      </c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9">
        <f t="shared" si="43"/>
        <v>0</v>
      </c>
      <c r="T298" s="10">
        <f t="shared" si="44"/>
        <v>0</v>
      </c>
      <c r="U298" s="10"/>
    </row>
    <row r="299" spans="1:21">
      <c r="A299" s="6"/>
      <c r="B299" s="11" t="s">
        <v>72</v>
      </c>
      <c r="C299" s="7" t="s">
        <v>61</v>
      </c>
      <c r="D299" s="7"/>
      <c r="E299" s="7"/>
      <c r="F299" s="7">
        <f t="shared" si="47"/>
        <v>8</v>
      </c>
      <c r="G299" s="8"/>
      <c r="H299" s="7">
        <f t="shared" si="45"/>
        <v>0</v>
      </c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9">
        <f t="shared" si="43"/>
        <v>8</v>
      </c>
      <c r="T299" s="10">
        <f t="shared" si="44"/>
        <v>0</v>
      </c>
      <c r="U299" s="10"/>
    </row>
    <row r="300" spans="1:21">
      <c r="A300" s="6"/>
      <c r="B300" s="11" t="s">
        <v>73</v>
      </c>
      <c r="C300" s="7" t="s">
        <v>26</v>
      </c>
      <c r="D300" s="7"/>
      <c r="E300" s="7"/>
      <c r="F300" s="7">
        <f t="shared" si="47"/>
        <v>0</v>
      </c>
      <c r="G300" s="8"/>
      <c r="H300" s="7">
        <f t="shared" si="45"/>
        <v>0</v>
      </c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9">
        <f t="shared" si="43"/>
        <v>0</v>
      </c>
      <c r="T300" s="10">
        <f t="shared" si="44"/>
        <v>0</v>
      </c>
      <c r="U300" s="10"/>
    </row>
    <row r="301" spans="1:21">
      <c r="A301" s="6"/>
      <c r="B301" s="11" t="s">
        <v>74</v>
      </c>
      <c r="C301" s="7" t="s">
        <v>26</v>
      </c>
      <c r="D301" s="7"/>
      <c r="E301" s="7"/>
      <c r="F301" s="7">
        <f t="shared" si="47"/>
        <v>380</v>
      </c>
      <c r="G301" s="8"/>
      <c r="H301" s="7">
        <f t="shared" si="45"/>
        <v>0</v>
      </c>
      <c r="I301" s="7"/>
      <c r="J301" s="7"/>
      <c r="K301" s="7"/>
      <c r="L301" s="7"/>
      <c r="M301" s="7">
        <v>44</v>
      </c>
      <c r="N301" s="7"/>
      <c r="O301" s="7"/>
      <c r="P301" s="7"/>
      <c r="Q301" s="7"/>
      <c r="R301" s="7"/>
      <c r="S301" s="9">
        <f t="shared" si="43"/>
        <v>424</v>
      </c>
      <c r="T301" s="10">
        <f t="shared" si="44"/>
        <v>0</v>
      </c>
      <c r="U301" s="10"/>
    </row>
    <row r="302" spans="1:21">
      <c r="A302" s="6"/>
      <c r="B302" s="11" t="s">
        <v>75</v>
      </c>
      <c r="C302" s="7" t="s">
        <v>26</v>
      </c>
      <c r="D302" s="7"/>
      <c r="E302" s="7"/>
      <c r="F302" s="7">
        <f t="shared" si="47"/>
        <v>0</v>
      </c>
      <c r="G302" s="8"/>
      <c r="H302" s="7">
        <f t="shared" si="45"/>
        <v>0</v>
      </c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9">
        <f t="shared" si="43"/>
        <v>0</v>
      </c>
      <c r="T302" s="10">
        <f t="shared" si="44"/>
        <v>0</v>
      </c>
      <c r="U302" s="10"/>
    </row>
    <row r="303" spans="1:21">
      <c r="A303" s="6"/>
      <c r="B303" s="11" t="s">
        <v>76</v>
      </c>
      <c r="C303" s="7" t="s">
        <v>26</v>
      </c>
      <c r="D303" s="7"/>
      <c r="E303" s="7"/>
      <c r="F303" s="7">
        <f t="shared" si="47"/>
        <v>275</v>
      </c>
      <c r="G303" s="8"/>
      <c r="H303" s="7">
        <f t="shared" si="45"/>
        <v>0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9">
        <f t="shared" si="43"/>
        <v>275</v>
      </c>
      <c r="T303" s="10">
        <f t="shared" si="44"/>
        <v>0</v>
      </c>
      <c r="U303" s="10"/>
    </row>
    <row r="304" spans="1:21">
      <c r="A304" s="6"/>
      <c r="B304" s="11" t="s">
        <v>77</v>
      </c>
      <c r="C304" s="7" t="s">
        <v>61</v>
      </c>
      <c r="D304" s="7"/>
      <c r="E304" s="7"/>
      <c r="F304" s="7">
        <f t="shared" si="47"/>
        <v>0</v>
      </c>
      <c r="G304" s="8"/>
      <c r="H304" s="7">
        <f t="shared" si="45"/>
        <v>0</v>
      </c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9">
        <f t="shared" si="43"/>
        <v>0</v>
      </c>
      <c r="T304" s="10">
        <f t="shared" si="44"/>
        <v>0</v>
      </c>
      <c r="U304" s="10"/>
    </row>
    <row r="305" spans="1:21">
      <c r="A305" s="6"/>
      <c r="B305" s="11" t="s">
        <v>78</v>
      </c>
      <c r="C305" s="7" t="s">
        <v>61</v>
      </c>
      <c r="D305" s="7"/>
      <c r="E305" s="7"/>
      <c r="F305" s="7">
        <f t="shared" si="47"/>
        <v>69</v>
      </c>
      <c r="G305" s="8"/>
      <c r="H305" s="7">
        <f t="shared" si="45"/>
        <v>0</v>
      </c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9">
        <f t="shared" si="43"/>
        <v>69</v>
      </c>
      <c r="T305" s="10">
        <f t="shared" si="44"/>
        <v>0</v>
      </c>
      <c r="U305" s="10"/>
    </row>
    <row r="306" spans="1:21">
      <c r="A306" s="6"/>
      <c r="B306" s="11" t="s">
        <v>105</v>
      </c>
      <c r="C306" s="7" t="s">
        <v>26</v>
      </c>
      <c r="D306" s="7"/>
      <c r="E306" s="7"/>
      <c r="F306" s="7">
        <f t="shared" si="47"/>
        <v>950</v>
      </c>
      <c r="G306" s="8"/>
      <c r="H306" s="7">
        <f t="shared" si="45"/>
        <v>0</v>
      </c>
      <c r="I306" s="7"/>
      <c r="J306" s="7">
        <v>36</v>
      </c>
      <c r="K306" s="7"/>
      <c r="L306" s="7"/>
      <c r="M306" s="7"/>
      <c r="N306" s="7"/>
      <c r="O306" s="7"/>
      <c r="P306" s="7"/>
      <c r="Q306" s="7"/>
      <c r="R306" s="7"/>
      <c r="S306" s="9">
        <f t="shared" si="43"/>
        <v>914</v>
      </c>
      <c r="T306" s="10">
        <f t="shared" si="44"/>
        <v>0</v>
      </c>
      <c r="U306" s="10"/>
    </row>
    <row r="307" spans="1:21">
      <c r="A307" s="6"/>
      <c r="B307" s="11" t="s">
        <v>80</v>
      </c>
      <c r="C307" s="7" t="s">
        <v>26</v>
      </c>
      <c r="D307" s="7"/>
      <c r="E307" s="7"/>
      <c r="F307" s="7">
        <f t="shared" si="47"/>
        <v>448</v>
      </c>
      <c r="G307" s="8"/>
      <c r="H307" s="7">
        <f t="shared" si="45"/>
        <v>0</v>
      </c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9">
        <f t="shared" ref="S307:S366" si="48">F307+G307-J307-K307-L307+M307+O307-P307-R307</f>
        <v>448</v>
      </c>
      <c r="T307" s="10">
        <f t="shared" ref="T307:T366" si="49">H307+I307+N307+R307-Q307</f>
        <v>0</v>
      </c>
      <c r="U307" s="10"/>
    </row>
    <row r="308" spans="1:21">
      <c r="A308" s="6"/>
      <c r="B308" s="11" t="s">
        <v>81</v>
      </c>
      <c r="C308" s="7" t="s">
        <v>26</v>
      </c>
      <c r="D308" s="7"/>
      <c r="E308" s="7"/>
      <c r="F308" s="7">
        <f t="shared" ref="F308:F321" si="50">S223</f>
        <v>0</v>
      </c>
      <c r="G308" s="8"/>
      <c r="H308" s="7">
        <f t="shared" si="45"/>
        <v>0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9">
        <f t="shared" si="48"/>
        <v>0</v>
      </c>
      <c r="T308" s="10">
        <f t="shared" si="49"/>
        <v>0</v>
      </c>
      <c r="U308" s="10"/>
    </row>
    <row r="309" spans="1:21">
      <c r="A309" s="6"/>
      <c r="B309" s="11" t="s">
        <v>82</v>
      </c>
      <c r="C309" s="7" t="s">
        <v>26</v>
      </c>
      <c r="D309" s="7"/>
      <c r="E309" s="7"/>
      <c r="F309" s="7">
        <f t="shared" si="50"/>
        <v>14</v>
      </c>
      <c r="G309" s="8"/>
      <c r="H309" s="7">
        <f t="shared" si="45"/>
        <v>0</v>
      </c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9">
        <f t="shared" si="48"/>
        <v>14</v>
      </c>
      <c r="T309" s="10">
        <f t="shared" si="49"/>
        <v>0</v>
      </c>
      <c r="U309" s="10"/>
    </row>
    <row r="310" spans="1:21">
      <c r="A310" s="6"/>
      <c r="B310" s="11" t="s">
        <v>83</v>
      </c>
      <c r="C310" s="7" t="s">
        <v>26</v>
      </c>
      <c r="D310" s="7"/>
      <c r="E310" s="7"/>
      <c r="F310" s="7">
        <f t="shared" si="50"/>
        <v>0</v>
      </c>
      <c r="G310" s="8"/>
      <c r="H310" s="7">
        <f t="shared" si="45"/>
        <v>0</v>
      </c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9">
        <f t="shared" si="48"/>
        <v>0</v>
      </c>
      <c r="T310" s="10">
        <f t="shared" si="49"/>
        <v>0</v>
      </c>
      <c r="U310" s="10"/>
    </row>
    <row r="311" spans="1:21">
      <c r="A311" s="6"/>
      <c r="B311" s="11" t="s">
        <v>84</v>
      </c>
      <c r="C311" s="7" t="s">
        <v>26</v>
      </c>
      <c r="D311" s="7"/>
      <c r="E311" s="7"/>
      <c r="F311" s="7">
        <f t="shared" si="50"/>
        <v>28</v>
      </c>
      <c r="G311" s="8"/>
      <c r="H311" s="7">
        <f t="shared" si="45"/>
        <v>0</v>
      </c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9">
        <f t="shared" si="48"/>
        <v>28</v>
      </c>
      <c r="T311" s="10">
        <f t="shared" si="49"/>
        <v>0</v>
      </c>
      <c r="U311" s="10"/>
    </row>
    <row r="312" spans="1:21">
      <c r="A312" s="6"/>
      <c r="B312" s="11" t="s">
        <v>85</v>
      </c>
      <c r="C312" s="7" t="s">
        <v>61</v>
      </c>
      <c r="D312" s="7"/>
      <c r="E312" s="7"/>
      <c r="F312" s="7">
        <f t="shared" si="50"/>
        <v>0</v>
      </c>
      <c r="G312" s="8"/>
      <c r="H312" s="7">
        <f t="shared" si="45"/>
        <v>0</v>
      </c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9">
        <f t="shared" si="48"/>
        <v>0</v>
      </c>
      <c r="T312" s="10">
        <f t="shared" si="49"/>
        <v>0</v>
      </c>
      <c r="U312" s="10"/>
    </row>
    <row r="313" spans="1:21">
      <c r="A313" s="6"/>
      <c r="B313" s="11" t="s">
        <v>86</v>
      </c>
      <c r="C313" s="7" t="s">
        <v>61</v>
      </c>
      <c r="D313" s="7"/>
      <c r="E313" s="7"/>
      <c r="F313" s="7">
        <f t="shared" si="50"/>
        <v>10</v>
      </c>
      <c r="G313" s="8"/>
      <c r="H313" s="7">
        <f t="shared" si="45"/>
        <v>0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9">
        <f t="shared" si="48"/>
        <v>10</v>
      </c>
      <c r="T313" s="10">
        <f t="shared" si="49"/>
        <v>0</v>
      </c>
      <c r="U313" s="10"/>
    </row>
    <row r="314" spans="1:21">
      <c r="A314" s="6"/>
      <c r="B314" s="11" t="s">
        <v>87</v>
      </c>
      <c r="C314" s="7" t="s">
        <v>26</v>
      </c>
      <c r="D314" s="7"/>
      <c r="E314" s="7"/>
      <c r="F314" s="7">
        <f t="shared" si="50"/>
        <v>36</v>
      </c>
      <c r="G314" s="8"/>
      <c r="H314" s="7">
        <f t="shared" si="45"/>
        <v>0</v>
      </c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9">
        <f t="shared" si="48"/>
        <v>36</v>
      </c>
      <c r="T314" s="10">
        <f t="shared" si="49"/>
        <v>0</v>
      </c>
      <c r="U314" s="10"/>
    </row>
    <row r="315" spans="1:21">
      <c r="A315" s="6"/>
      <c r="B315" s="11" t="s">
        <v>88</v>
      </c>
      <c r="C315" s="10"/>
      <c r="D315" s="7"/>
      <c r="E315" s="7"/>
      <c r="F315" s="7">
        <f t="shared" si="50"/>
        <v>156</v>
      </c>
      <c r="G315" s="8"/>
      <c r="H315" s="7">
        <f t="shared" si="45"/>
        <v>0</v>
      </c>
      <c r="I315" s="7"/>
      <c r="J315" s="7">
        <v>37</v>
      </c>
      <c r="K315" s="7"/>
      <c r="L315" s="7"/>
      <c r="M315" s="7"/>
      <c r="N315" s="7"/>
      <c r="O315" s="7"/>
      <c r="P315" s="7"/>
      <c r="Q315" s="7"/>
      <c r="R315" s="7"/>
      <c r="S315" s="9">
        <f t="shared" si="48"/>
        <v>119</v>
      </c>
      <c r="T315" s="10">
        <f t="shared" si="49"/>
        <v>0</v>
      </c>
      <c r="U315" s="10"/>
    </row>
    <row r="316" spans="1:21">
      <c r="A316" s="6"/>
      <c r="B316" s="11" t="s">
        <v>89</v>
      </c>
      <c r="C316" s="7" t="s">
        <v>26</v>
      </c>
      <c r="D316" s="7"/>
      <c r="E316" s="7"/>
      <c r="F316" s="7">
        <f t="shared" si="50"/>
        <v>642</v>
      </c>
      <c r="G316" s="8"/>
      <c r="H316" s="7">
        <f t="shared" si="45"/>
        <v>0</v>
      </c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9">
        <f t="shared" si="48"/>
        <v>642</v>
      </c>
      <c r="T316" s="10">
        <f t="shared" si="49"/>
        <v>0</v>
      </c>
      <c r="U316" s="10"/>
    </row>
    <row r="317" spans="1:21">
      <c r="A317" s="6"/>
      <c r="B317" s="11" t="s">
        <v>90</v>
      </c>
      <c r="C317" s="7" t="s">
        <v>26</v>
      </c>
      <c r="D317" s="7"/>
      <c r="E317" s="7"/>
      <c r="F317" s="7">
        <f t="shared" si="50"/>
        <v>0</v>
      </c>
      <c r="G317" s="8"/>
      <c r="H317" s="7">
        <f t="shared" si="45"/>
        <v>0</v>
      </c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9">
        <f t="shared" si="48"/>
        <v>0</v>
      </c>
      <c r="T317" s="10">
        <f t="shared" si="49"/>
        <v>0</v>
      </c>
      <c r="U317" s="10"/>
    </row>
    <row r="318" spans="1:21">
      <c r="A318" s="6"/>
      <c r="B318" s="11" t="s">
        <v>91</v>
      </c>
      <c r="C318" s="7" t="s">
        <v>26</v>
      </c>
      <c r="D318" s="7"/>
      <c r="E318" s="7"/>
      <c r="F318" s="7">
        <f t="shared" si="50"/>
        <v>138</v>
      </c>
      <c r="G318" s="8"/>
      <c r="H318" s="7">
        <f t="shared" si="45"/>
        <v>0</v>
      </c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9">
        <f t="shared" si="48"/>
        <v>138</v>
      </c>
      <c r="T318" s="10">
        <f t="shared" si="49"/>
        <v>0</v>
      </c>
      <c r="U318" s="10"/>
    </row>
    <row r="319" spans="1:21">
      <c r="A319" s="6"/>
      <c r="B319" s="12" t="s">
        <v>92</v>
      </c>
      <c r="C319" s="13" t="s">
        <v>26</v>
      </c>
      <c r="D319" s="7"/>
      <c r="E319" s="7"/>
      <c r="F319" s="7">
        <f t="shared" si="50"/>
        <v>1312</v>
      </c>
      <c r="G319" s="8"/>
      <c r="H319" s="7">
        <f t="shared" si="45"/>
        <v>0</v>
      </c>
      <c r="I319" s="7"/>
      <c r="J319" s="7">
        <v>100</v>
      </c>
      <c r="K319" s="7"/>
      <c r="L319" s="7"/>
      <c r="M319" s="7"/>
      <c r="N319" s="7"/>
      <c r="O319" s="7"/>
      <c r="P319" s="7"/>
      <c r="Q319" s="7"/>
      <c r="R319" s="7"/>
      <c r="S319" s="9">
        <f t="shared" si="48"/>
        <v>1212</v>
      </c>
      <c r="T319" s="10">
        <f t="shared" si="49"/>
        <v>0</v>
      </c>
      <c r="U319" s="10"/>
    </row>
    <row r="320" spans="1:21">
      <c r="A320" s="6"/>
      <c r="B320" s="12" t="s">
        <v>93</v>
      </c>
      <c r="C320" s="13" t="s">
        <v>26</v>
      </c>
      <c r="D320" s="7"/>
      <c r="E320" s="7"/>
      <c r="F320" s="7">
        <f t="shared" si="50"/>
        <v>3232</v>
      </c>
      <c r="G320" s="8"/>
      <c r="H320" s="7">
        <f t="shared" si="45"/>
        <v>0</v>
      </c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9">
        <f t="shared" si="48"/>
        <v>3232</v>
      </c>
      <c r="T320" s="10">
        <f t="shared" si="49"/>
        <v>0</v>
      </c>
      <c r="U320" s="10"/>
    </row>
    <row r="321" spans="1:21">
      <c r="A321" s="6"/>
      <c r="B321" s="11" t="s">
        <v>94</v>
      </c>
      <c r="C321" s="7" t="s">
        <v>41</v>
      </c>
      <c r="D321" s="7"/>
      <c r="E321" s="7"/>
      <c r="F321" s="7">
        <f t="shared" ref="F321:F341" si="51">S236</f>
        <v>0</v>
      </c>
      <c r="G321" s="8"/>
      <c r="H321" s="7">
        <f t="shared" si="45"/>
        <v>0</v>
      </c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9">
        <f t="shared" si="48"/>
        <v>0</v>
      </c>
      <c r="T321" s="10">
        <f t="shared" si="49"/>
        <v>0</v>
      </c>
      <c r="U321" s="10"/>
    </row>
    <row r="322" spans="1:21">
      <c r="A322" s="6"/>
      <c r="B322" s="11" t="s">
        <v>95</v>
      </c>
      <c r="C322" s="7" t="s">
        <v>41</v>
      </c>
      <c r="D322" s="7"/>
      <c r="E322" s="7"/>
      <c r="F322" s="7">
        <f t="shared" si="51"/>
        <v>39</v>
      </c>
      <c r="G322" s="8"/>
      <c r="H322" s="7">
        <f t="shared" si="45"/>
        <v>0</v>
      </c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9">
        <f t="shared" si="48"/>
        <v>39</v>
      </c>
      <c r="T322" s="10">
        <f t="shared" si="49"/>
        <v>0</v>
      </c>
      <c r="U322" s="10"/>
    </row>
    <row r="323" spans="1:21">
      <c r="A323" s="6"/>
      <c r="B323" s="11" t="s">
        <v>96</v>
      </c>
      <c r="C323" s="7" t="s">
        <v>41</v>
      </c>
      <c r="D323" s="7"/>
      <c r="E323" s="7"/>
      <c r="F323" s="7">
        <f t="shared" si="51"/>
        <v>0</v>
      </c>
      <c r="G323" s="8"/>
      <c r="H323" s="7">
        <f t="shared" si="45"/>
        <v>0</v>
      </c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9">
        <f t="shared" si="48"/>
        <v>0</v>
      </c>
      <c r="T323" s="10">
        <f t="shared" si="49"/>
        <v>0</v>
      </c>
      <c r="U323" s="10"/>
    </row>
    <row r="324" spans="1:21">
      <c r="A324" s="6"/>
      <c r="B324" s="11" t="s">
        <v>97</v>
      </c>
      <c r="C324" s="7" t="s">
        <v>41</v>
      </c>
      <c r="D324" s="7"/>
      <c r="E324" s="7"/>
      <c r="F324" s="7">
        <f t="shared" si="51"/>
        <v>54</v>
      </c>
      <c r="G324" s="8"/>
      <c r="H324" s="7">
        <f t="shared" si="45"/>
        <v>0</v>
      </c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9">
        <f t="shared" si="48"/>
        <v>54</v>
      </c>
      <c r="T324" s="10">
        <f t="shared" si="49"/>
        <v>0</v>
      </c>
      <c r="U324" s="10"/>
    </row>
    <row r="325" spans="1:21">
      <c r="A325" s="6"/>
      <c r="B325" s="11" t="s">
        <v>98</v>
      </c>
      <c r="C325" s="7" t="s">
        <v>26</v>
      </c>
      <c r="D325" s="7"/>
      <c r="E325" s="7"/>
      <c r="F325" s="7">
        <f t="shared" si="51"/>
        <v>1256</v>
      </c>
      <c r="G325" s="8"/>
      <c r="H325" s="7">
        <f t="shared" si="45"/>
        <v>0</v>
      </c>
      <c r="I325" s="7"/>
      <c r="J325" s="7">
        <v>72</v>
      </c>
      <c r="K325" s="7"/>
      <c r="L325" s="7"/>
      <c r="M325" s="7"/>
      <c r="N325" s="7"/>
      <c r="O325" s="7"/>
      <c r="P325" s="7"/>
      <c r="Q325" s="7"/>
      <c r="R325" s="7"/>
      <c r="S325" s="9">
        <f t="shared" si="48"/>
        <v>1184</v>
      </c>
      <c r="T325" s="10">
        <f t="shared" si="49"/>
        <v>0</v>
      </c>
      <c r="U325" s="10"/>
    </row>
    <row r="326" spans="1:21">
      <c r="A326" s="6"/>
      <c r="B326" s="11" t="s">
        <v>99</v>
      </c>
      <c r="C326" s="7" t="s">
        <v>26</v>
      </c>
      <c r="D326" s="7"/>
      <c r="E326" s="7"/>
      <c r="F326" s="7">
        <f t="shared" si="51"/>
        <v>1042</v>
      </c>
      <c r="G326" s="8"/>
      <c r="H326" s="7">
        <f t="shared" si="45"/>
        <v>0</v>
      </c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9">
        <f t="shared" si="48"/>
        <v>1042</v>
      </c>
      <c r="T326" s="10">
        <f t="shared" si="49"/>
        <v>0</v>
      </c>
      <c r="U326" s="10"/>
    </row>
    <row r="327" spans="1:21">
      <c r="A327" s="6"/>
      <c r="B327" s="11" t="s">
        <v>100</v>
      </c>
      <c r="C327" s="7" t="s">
        <v>26</v>
      </c>
      <c r="D327" s="7"/>
      <c r="E327" s="7"/>
      <c r="F327" s="7">
        <f t="shared" si="51"/>
        <v>528</v>
      </c>
      <c r="G327" s="8"/>
      <c r="H327" s="7">
        <f t="shared" si="45"/>
        <v>0</v>
      </c>
      <c r="I327" s="7"/>
      <c r="J327" s="7"/>
      <c r="K327" s="7">
        <v>72</v>
      </c>
      <c r="L327" s="7"/>
      <c r="M327" s="7"/>
      <c r="N327" s="7"/>
      <c r="O327" s="7"/>
      <c r="P327" s="7"/>
      <c r="Q327" s="7"/>
      <c r="R327" s="7"/>
      <c r="S327" s="9">
        <f t="shared" si="48"/>
        <v>456</v>
      </c>
      <c r="T327" s="10">
        <f t="shared" si="49"/>
        <v>0</v>
      </c>
      <c r="U327" s="10"/>
    </row>
    <row r="328" spans="1:21">
      <c r="A328" s="6"/>
      <c r="B328" s="11" t="s">
        <v>101</v>
      </c>
      <c r="C328" s="7" t="s">
        <v>26</v>
      </c>
      <c r="D328" s="7"/>
      <c r="E328" s="7"/>
      <c r="F328" s="7">
        <f t="shared" si="51"/>
        <v>240</v>
      </c>
      <c r="G328" s="8"/>
      <c r="H328" s="7">
        <f t="shared" si="45"/>
        <v>0</v>
      </c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9">
        <f t="shared" si="48"/>
        <v>240</v>
      </c>
      <c r="T328" s="10">
        <f t="shared" si="49"/>
        <v>0</v>
      </c>
      <c r="U328" s="10"/>
    </row>
    <row r="329" spans="1:21">
      <c r="A329" s="6"/>
      <c r="B329" s="11" t="s">
        <v>102</v>
      </c>
      <c r="C329" s="7" t="s">
        <v>26</v>
      </c>
      <c r="D329" s="7"/>
      <c r="E329" s="7"/>
      <c r="F329" s="7">
        <f t="shared" si="51"/>
        <v>1027</v>
      </c>
      <c r="G329" s="8"/>
      <c r="H329" s="7">
        <f t="shared" si="45"/>
        <v>0</v>
      </c>
      <c r="I329" s="7"/>
      <c r="J329" s="7">
        <v>20</v>
      </c>
      <c r="K329" s="7"/>
      <c r="L329" s="7"/>
      <c r="M329" s="7"/>
      <c r="N329" s="7"/>
      <c r="O329" s="7"/>
      <c r="P329" s="7"/>
      <c r="Q329" s="7"/>
      <c r="R329" s="7"/>
      <c r="S329" s="9">
        <f t="shared" si="48"/>
        <v>1007</v>
      </c>
      <c r="T329" s="10">
        <f t="shared" si="49"/>
        <v>0</v>
      </c>
      <c r="U329" s="10"/>
    </row>
    <row r="330" spans="1:21">
      <c r="A330" s="6"/>
      <c r="B330" s="11" t="s">
        <v>103</v>
      </c>
      <c r="C330" s="7" t="s">
        <v>26</v>
      </c>
      <c r="D330" s="7"/>
      <c r="E330" s="7"/>
      <c r="F330" s="7">
        <f t="shared" si="51"/>
        <v>257</v>
      </c>
      <c r="G330" s="8"/>
      <c r="H330" s="7">
        <f t="shared" si="45"/>
        <v>0</v>
      </c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9">
        <f t="shared" si="48"/>
        <v>257</v>
      </c>
      <c r="T330" s="10">
        <f t="shared" si="49"/>
        <v>0</v>
      </c>
      <c r="U330" s="10"/>
    </row>
    <row r="331" spans="1:21">
      <c r="A331" s="6"/>
      <c r="B331" s="11"/>
      <c r="C331" s="7"/>
      <c r="D331" s="7"/>
      <c r="E331" s="7"/>
      <c r="F331" s="7">
        <f t="shared" si="51"/>
        <v>0</v>
      </c>
      <c r="G331" s="8"/>
      <c r="H331" s="7">
        <f t="shared" si="45"/>
        <v>0</v>
      </c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9">
        <f t="shared" si="48"/>
        <v>0</v>
      </c>
      <c r="T331" s="10">
        <f t="shared" si="49"/>
        <v>0</v>
      </c>
      <c r="U331" s="10"/>
    </row>
    <row r="332" spans="1:21">
      <c r="A332" s="6"/>
      <c r="B332" s="11"/>
      <c r="C332" s="7"/>
      <c r="D332" s="7"/>
      <c r="E332" s="7"/>
      <c r="F332" s="7">
        <f t="shared" si="51"/>
        <v>0</v>
      </c>
      <c r="G332" s="8"/>
      <c r="H332" s="7">
        <f t="shared" ref="H332:H351" si="52">T247</f>
        <v>0</v>
      </c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9">
        <f t="shared" si="48"/>
        <v>0</v>
      </c>
      <c r="T332" s="10">
        <f t="shared" si="49"/>
        <v>0</v>
      </c>
      <c r="U332" s="10"/>
    </row>
    <row r="333" spans="1:21">
      <c r="A333" s="6"/>
      <c r="B333" s="11"/>
      <c r="C333" s="7"/>
      <c r="D333" s="7"/>
      <c r="E333" s="7"/>
      <c r="F333" s="7">
        <f t="shared" si="51"/>
        <v>0</v>
      </c>
      <c r="G333" s="8"/>
      <c r="H333" s="7">
        <f t="shared" si="52"/>
        <v>0</v>
      </c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9">
        <f t="shared" si="48"/>
        <v>0</v>
      </c>
      <c r="T333" s="10">
        <f t="shared" si="49"/>
        <v>0</v>
      </c>
      <c r="U333" s="10"/>
    </row>
    <row r="334" spans="1:21">
      <c r="A334" s="6"/>
      <c r="B334" s="11"/>
      <c r="C334" s="7"/>
      <c r="D334" s="7"/>
      <c r="E334" s="7"/>
      <c r="F334" s="7">
        <f t="shared" si="51"/>
        <v>0</v>
      </c>
      <c r="G334" s="8"/>
      <c r="H334" s="7">
        <f t="shared" si="52"/>
        <v>0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9">
        <f t="shared" si="48"/>
        <v>0</v>
      </c>
      <c r="T334" s="10">
        <f t="shared" si="49"/>
        <v>0</v>
      </c>
      <c r="U334" s="10"/>
    </row>
    <row r="335" spans="1:21">
      <c r="A335" s="6"/>
      <c r="B335" s="11"/>
      <c r="C335" s="7"/>
      <c r="D335" s="7"/>
      <c r="E335" s="7"/>
      <c r="F335" s="7">
        <f t="shared" si="51"/>
        <v>0</v>
      </c>
      <c r="G335" s="8"/>
      <c r="H335" s="7">
        <f t="shared" si="52"/>
        <v>0</v>
      </c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9">
        <f t="shared" si="48"/>
        <v>0</v>
      </c>
      <c r="T335" s="10">
        <f t="shared" si="49"/>
        <v>0</v>
      </c>
      <c r="U335" s="10"/>
    </row>
    <row r="336" spans="1:21">
      <c r="A336" s="6"/>
      <c r="B336" s="11"/>
      <c r="C336" s="7"/>
      <c r="D336" s="7"/>
      <c r="E336" s="7"/>
      <c r="F336" s="7">
        <f t="shared" si="51"/>
        <v>0</v>
      </c>
      <c r="G336" s="8"/>
      <c r="H336" s="7">
        <f t="shared" si="52"/>
        <v>0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9">
        <f t="shared" si="48"/>
        <v>0</v>
      </c>
      <c r="T336" s="10">
        <f t="shared" si="49"/>
        <v>0</v>
      </c>
      <c r="U336" s="10"/>
    </row>
    <row r="337" spans="1:25">
      <c r="A337" s="6"/>
      <c r="B337" s="11"/>
      <c r="C337" s="7"/>
      <c r="D337" s="7"/>
      <c r="E337" s="7"/>
      <c r="F337" s="7">
        <f t="shared" si="51"/>
        <v>0</v>
      </c>
      <c r="G337" s="8"/>
      <c r="H337" s="7">
        <f t="shared" si="52"/>
        <v>0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9">
        <f t="shared" si="48"/>
        <v>0</v>
      </c>
      <c r="T337" s="10">
        <f t="shared" si="49"/>
        <v>0</v>
      </c>
      <c r="U337" s="10"/>
    </row>
    <row r="338" spans="1:25">
      <c r="A338" s="6"/>
      <c r="B338" s="11"/>
      <c r="C338" s="7"/>
      <c r="D338" s="7"/>
      <c r="E338" s="7"/>
      <c r="F338" s="7">
        <f t="shared" si="51"/>
        <v>0</v>
      </c>
      <c r="G338" s="8"/>
      <c r="H338" s="7">
        <f t="shared" si="52"/>
        <v>0</v>
      </c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9">
        <f t="shared" si="48"/>
        <v>0</v>
      </c>
      <c r="T338" s="10">
        <f t="shared" si="49"/>
        <v>0</v>
      </c>
      <c r="U338" s="10"/>
    </row>
    <row r="339" spans="1:25">
      <c r="A339" s="6"/>
      <c r="B339" s="11"/>
      <c r="C339" s="7"/>
      <c r="D339" s="7"/>
      <c r="E339" s="7"/>
      <c r="F339" s="7">
        <f t="shared" si="51"/>
        <v>0</v>
      </c>
      <c r="G339" s="8"/>
      <c r="H339" s="7">
        <f t="shared" si="52"/>
        <v>0</v>
      </c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9">
        <f t="shared" si="48"/>
        <v>0</v>
      </c>
      <c r="T339" s="10">
        <f t="shared" si="49"/>
        <v>0</v>
      </c>
      <c r="U339" s="10"/>
    </row>
    <row r="340" spans="1:25">
      <c r="A340" s="6"/>
      <c r="B340" s="11"/>
      <c r="C340" s="7"/>
      <c r="D340" s="7"/>
      <c r="E340" s="7"/>
      <c r="F340" s="7">
        <f t="shared" si="51"/>
        <v>0</v>
      </c>
      <c r="G340" s="8"/>
      <c r="H340" s="7">
        <f t="shared" si="52"/>
        <v>0</v>
      </c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9">
        <f t="shared" si="48"/>
        <v>0</v>
      </c>
      <c r="T340" s="10">
        <f t="shared" si="49"/>
        <v>0</v>
      </c>
      <c r="U340" s="10"/>
    </row>
    <row r="341" spans="1:25">
      <c r="A341" s="6"/>
      <c r="B341" s="11"/>
      <c r="C341" s="7"/>
      <c r="D341" s="7"/>
      <c r="E341" s="7"/>
      <c r="F341" s="7">
        <f t="shared" si="51"/>
        <v>0</v>
      </c>
      <c r="G341" s="8"/>
      <c r="H341" s="7">
        <f t="shared" si="52"/>
        <v>0</v>
      </c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9">
        <f t="shared" si="48"/>
        <v>0</v>
      </c>
      <c r="T341" s="10">
        <f t="shared" si="49"/>
        <v>0</v>
      </c>
      <c r="U341" s="10"/>
      <c r="V341">
        <f>X341*0.1</f>
        <v>0</v>
      </c>
      <c r="W341">
        <f>E341*S341*1.5</f>
        <v>0</v>
      </c>
      <c r="X341">
        <f>J341+K341</f>
        <v>0</v>
      </c>
      <c r="Y341">
        <f>X341*0.13</f>
        <v>0</v>
      </c>
    </row>
    <row r="342" spans="1:25">
      <c r="A342" s="6">
        <v>46147</v>
      </c>
      <c r="B342" t="s">
        <v>25</v>
      </c>
      <c r="C342" s="7" t="s">
        <v>26</v>
      </c>
      <c r="D342" s="7"/>
      <c r="E342" s="7"/>
      <c r="F342" s="7">
        <f t="shared" ref="F341:F353" si="53">S257</f>
        <v>1899</v>
      </c>
      <c r="G342" s="8"/>
      <c r="H342" s="7">
        <f t="shared" si="52"/>
        <v>0</v>
      </c>
      <c r="I342" s="7"/>
      <c r="J342" s="7">
        <v>240</v>
      </c>
      <c r="K342" s="7"/>
      <c r="L342" s="7"/>
      <c r="M342" s="7"/>
      <c r="N342" s="7"/>
      <c r="O342" s="7"/>
      <c r="P342" s="7"/>
      <c r="Q342" s="7"/>
      <c r="R342" s="7"/>
      <c r="S342" s="9">
        <f t="shared" si="48"/>
        <v>1659</v>
      </c>
      <c r="T342" s="10">
        <f t="shared" si="49"/>
        <v>0</v>
      </c>
      <c r="U342" s="10"/>
      <c r="V342">
        <f t="shared" ref="V342:V348" si="54">X342*0.1</f>
        <v>24</v>
      </c>
      <c r="W342">
        <f t="shared" ref="W342:W348" si="55">E342*S342*1.5</f>
        <v>0</v>
      </c>
      <c r="X342">
        <f t="shared" ref="X342:X348" si="56">J342+K342</f>
        <v>240</v>
      </c>
      <c r="Y342">
        <f t="shared" ref="Y342:Y348" si="57">X342*0.13</f>
        <v>31.2</v>
      </c>
    </row>
    <row r="343" spans="1:25">
      <c r="A343" s="6"/>
      <c r="B343" t="s">
        <v>27</v>
      </c>
      <c r="C343" s="7" t="s">
        <v>26</v>
      </c>
      <c r="D343" s="7"/>
      <c r="E343" s="7"/>
      <c r="F343" s="7">
        <f t="shared" si="53"/>
        <v>492</v>
      </c>
      <c r="G343" s="8"/>
      <c r="H343" s="7">
        <f t="shared" si="52"/>
        <v>0</v>
      </c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9">
        <f t="shared" si="48"/>
        <v>492</v>
      </c>
      <c r="T343" s="10">
        <f t="shared" si="49"/>
        <v>0</v>
      </c>
      <c r="U343" s="10"/>
      <c r="V343">
        <f t="shared" si="54"/>
        <v>0</v>
      </c>
      <c r="W343">
        <f t="shared" si="55"/>
        <v>0</v>
      </c>
      <c r="X343">
        <f t="shared" si="56"/>
        <v>0</v>
      </c>
      <c r="Y343">
        <f t="shared" si="57"/>
        <v>0</v>
      </c>
    </row>
    <row r="344" spans="1:25">
      <c r="A344" s="6"/>
      <c r="B344" s="6" t="s">
        <v>28</v>
      </c>
      <c r="C344" s="7" t="s">
        <v>26</v>
      </c>
      <c r="D344" s="7"/>
      <c r="E344" s="7"/>
      <c r="F344" s="7">
        <f t="shared" si="53"/>
        <v>1761</v>
      </c>
      <c r="G344" s="8"/>
      <c r="H344" s="7">
        <f t="shared" si="52"/>
        <v>0</v>
      </c>
      <c r="I344" s="7"/>
      <c r="J344" s="7">
        <v>120</v>
      </c>
      <c r="K344" s="7"/>
      <c r="L344" s="7"/>
      <c r="M344" s="7"/>
      <c r="N344" s="7"/>
      <c r="O344" s="7"/>
      <c r="P344" s="7"/>
      <c r="Q344" s="7"/>
      <c r="R344" s="7"/>
      <c r="S344" s="9">
        <f t="shared" si="48"/>
        <v>1641</v>
      </c>
      <c r="T344" s="10">
        <f t="shared" si="49"/>
        <v>0</v>
      </c>
      <c r="U344" s="10"/>
      <c r="V344">
        <f t="shared" si="54"/>
        <v>12</v>
      </c>
      <c r="W344">
        <f t="shared" si="55"/>
        <v>0</v>
      </c>
      <c r="X344">
        <f t="shared" si="56"/>
        <v>120</v>
      </c>
      <c r="Y344">
        <f t="shared" si="57"/>
        <v>15.6</v>
      </c>
    </row>
    <row r="345" spans="1:25">
      <c r="A345" s="6"/>
      <c r="B345" s="6" t="s">
        <v>29</v>
      </c>
      <c r="C345" s="7" t="s">
        <v>26</v>
      </c>
      <c r="D345" s="7"/>
      <c r="E345" s="7"/>
      <c r="F345" s="7">
        <f t="shared" si="53"/>
        <v>163</v>
      </c>
      <c r="G345" s="8"/>
      <c r="H345" s="7">
        <f t="shared" si="52"/>
        <v>0</v>
      </c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9">
        <f t="shared" si="48"/>
        <v>163</v>
      </c>
      <c r="T345" s="10">
        <f t="shared" si="49"/>
        <v>0</v>
      </c>
      <c r="U345" s="10"/>
      <c r="V345">
        <f t="shared" si="54"/>
        <v>0</v>
      </c>
      <c r="W345">
        <f t="shared" si="55"/>
        <v>0</v>
      </c>
      <c r="X345">
        <f t="shared" si="56"/>
        <v>0</v>
      </c>
      <c r="Y345">
        <f t="shared" si="57"/>
        <v>0</v>
      </c>
    </row>
    <row r="346" spans="1:25">
      <c r="A346" s="6"/>
      <c r="B346" s="6" t="s">
        <v>30</v>
      </c>
      <c r="C346" s="7" t="s">
        <v>26</v>
      </c>
      <c r="D346" s="7"/>
      <c r="E346" s="7"/>
      <c r="F346" s="7">
        <f t="shared" si="53"/>
        <v>433</v>
      </c>
      <c r="G346" s="8"/>
      <c r="H346" s="7">
        <f t="shared" si="52"/>
        <v>0</v>
      </c>
      <c r="I346" s="7"/>
      <c r="J346" s="7">
        <v>240</v>
      </c>
      <c r="K346" s="7"/>
      <c r="L346" s="7"/>
      <c r="M346" s="7"/>
      <c r="N346" s="7"/>
      <c r="O346" s="7"/>
      <c r="P346" s="7"/>
      <c r="Q346" s="7"/>
      <c r="R346" s="7"/>
      <c r="S346" s="9">
        <f t="shared" si="48"/>
        <v>193</v>
      </c>
      <c r="T346" s="10">
        <f t="shared" si="49"/>
        <v>0</v>
      </c>
      <c r="U346" s="10"/>
      <c r="V346">
        <f t="shared" si="54"/>
        <v>24</v>
      </c>
      <c r="W346">
        <f t="shared" si="55"/>
        <v>0</v>
      </c>
      <c r="X346">
        <f t="shared" si="56"/>
        <v>240</v>
      </c>
      <c r="Y346">
        <f t="shared" si="57"/>
        <v>31.2</v>
      </c>
    </row>
    <row r="347" spans="1:25">
      <c r="A347" s="6"/>
      <c r="B347" s="6" t="s">
        <v>31</v>
      </c>
      <c r="C347" s="7" t="s">
        <v>26</v>
      </c>
      <c r="D347" s="7"/>
      <c r="E347" s="7"/>
      <c r="F347" s="7">
        <f t="shared" si="53"/>
        <v>484</v>
      </c>
      <c r="G347" s="8"/>
      <c r="H347" s="7">
        <f t="shared" si="52"/>
        <v>0</v>
      </c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9">
        <f t="shared" si="48"/>
        <v>484</v>
      </c>
      <c r="T347" s="10">
        <f t="shared" si="49"/>
        <v>0</v>
      </c>
      <c r="U347" s="10"/>
      <c r="V347">
        <f t="shared" si="54"/>
        <v>0</v>
      </c>
      <c r="W347">
        <f t="shared" si="55"/>
        <v>0</v>
      </c>
      <c r="X347">
        <f t="shared" si="56"/>
        <v>0</v>
      </c>
      <c r="Y347">
        <f t="shared" si="57"/>
        <v>0</v>
      </c>
    </row>
    <row r="348" spans="1:25">
      <c r="A348" s="6"/>
      <c r="B348" s="6" t="s">
        <v>32</v>
      </c>
      <c r="C348" s="7" t="s">
        <v>26</v>
      </c>
      <c r="D348" s="7"/>
      <c r="E348" s="7"/>
      <c r="F348" s="7">
        <f t="shared" si="53"/>
        <v>990</v>
      </c>
      <c r="G348" s="8"/>
      <c r="H348" s="7">
        <f t="shared" si="52"/>
        <v>0</v>
      </c>
      <c r="I348" s="7"/>
      <c r="J348" s="7">
        <v>360</v>
      </c>
      <c r="K348" s="7"/>
      <c r="L348" s="7"/>
      <c r="M348" s="7"/>
      <c r="N348" s="7"/>
      <c r="O348" s="7"/>
      <c r="P348" s="7"/>
      <c r="Q348" s="7"/>
      <c r="R348" s="7"/>
      <c r="S348" s="9">
        <f t="shared" si="48"/>
        <v>630</v>
      </c>
      <c r="T348" s="10">
        <f t="shared" si="49"/>
        <v>0</v>
      </c>
      <c r="U348" s="10"/>
      <c r="V348">
        <f t="shared" si="54"/>
        <v>36</v>
      </c>
      <c r="W348">
        <f t="shared" si="55"/>
        <v>0</v>
      </c>
      <c r="X348">
        <f t="shared" si="56"/>
        <v>360</v>
      </c>
      <c r="Y348">
        <f t="shared" si="57"/>
        <v>46.8</v>
      </c>
    </row>
    <row r="349" spans="1:25">
      <c r="A349" s="6"/>
      <c r="B349" s="6" t="s">
        <v>33</v>
      </c>
      <c r="C349" s="7" t="s">
        <v>26</v>
      </c>
      <c r="D349" s="7"/>
      <c r="E349" s="7"/>
      <c r="F349" s="7">
        <f t="shared" si="53"/>
        <v>1120</v>
      </c>
      <c r="G349" s="8"/>
      <c r="H349" s="7">
        <f t="shared" si="52"/>
        <v>0</v>
      </c>
      <c r="I349" s="7"/>
      <c r="J349" s="7"/>
      <c r="K349" s="7"/>
      <c r="L349" s="7"/>
      <c r="M349" s="7">
        <v>24</v>
      </c>
      <c r="N349" s="7"/>
      <c r="O349" s="7"/>
      <c r="P349" s="7"/>
      <c r="Q349" s="7"/>
      <c r="R349" s="7"/>
      <c r="S349" s="9">
        <f t="shared" si="48"/>
        <v>1144</v>
      </c>
      <c r="T349" s="10">
        <f t="shared" si="49"/>
        <v>0</v>
      </c>
      <c r="U349" s="10"/>
    </row>
    <row r="350" spans="1:25">
      <c r="A350" s="6"/>
      <c r="B350" s="11" t="s">
        <v>34</v>
      </c>
      <c r="C350" s="7" t="s">
        <v>26</v>
      </c>
      <c r="D350" s="7"/>
      <c r="E350" s="7"/>
      <c r="F350" s="7">
        <f t="shared" si="53"/>
        <v>17</v>
      </c>
      <c r="G350" s="8"/>
      <c r="H350" s="7">
        <f t="shared" si="52"/>
        <v>0</v>
      </c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9">
        <f t="shared" si="48"/>
        <v>17</v>
      </c>
      <c r="T350" s="10">
        <f t="shared" si="49"/>
        <v>0</v>
      </c>
      <c r="U350" s="10"/>
    </row>
    <row r="351" spans="1:25">
      <c r="A351" s="6"/>
      <c r="B351" s="11" t="s">
        <v>35</v>
      </c>
      <c r="C351" s="7" t="s">
        <v>26</v>
      </c>
      <c r="D351" s="7"/>
      <c r="E351" s="7"/>
      <c r="F351" s="7">
        <f t="shared" si="53"/>
        <v>120</v>
      </c>
      <c r="G351" s="8"/>
      <c r="H351" s="7">
        <f t="shared" si="52"/>
        <v>0</v>
      </c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9">
        <f t="shared" si="48"/>
        <v>120</v>
      </c>
      <c r="T351" s="10">
        <f t="shared" si="49"/>
        <v>0</v>
      </c>
      <c r="U351" s="10"/>
    </row>
    <row r="352" spans="1:25">
      <c r="A352" s="6"/>
      <c r="B352" s="11" t="s">
        <v>36</v>
      </c>
      <c r="C352" s="7" t="s">
        <v>26</v>
      </c>
      <c r="D352" s="7"/>
      <c r="E352" s="7"/>
      <c r="F352" s="7">
        <f t="shared" si="53"/>
        <v>0</v>
      </c>
      <c r="G352" s="8"/>
      <c r="H352" s="7">
        <f t="shared" ref="H352:H391" si="58">T267</f>
        <v>0</v>
      </c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9">
        <f t="shared" si="48"/>
        <v>0</v>
      </c>
      <c r="T352" s="10">
        <f t="shared" si="49"/>
        <v>0</v>
      </c>
      <c r="U352" s="10"/>
    </row>
    <row r="353" spans="1:21">
      <c r="A353" s="6"/>
      <c r="B353" s="11" t="s">
        <v>37</v>
      </c>
      <c r="C353" s="7" t="s">
        <v>26</v>
      </c>
      <c r="D353" s="7"/>
      <c r="E353" s="7"/>
      <c r="F353" s="7">
        <f t="shared" si="53"/>
        <v>24</v>
      </c>
      <c r="G353" s="8"/>
      <c r="H353" s="7">
        <f t="shared" si="58"/>
        <v>0</v>
      </c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9">
        <f t="shared" si="48"/>
        <v>24</v>
      </c>
      <c r="T353" s="10">
        <f t="shared" si="49"/>
        <v>0</v>
      </c>
      <c r="U353" s="10"/>
    </row>
    <row r="354" spans="1:21">
      <c r="A354" s="6"/>
      <c r="B354" s="11" t="s">
        <v>38</v>
      </c>
      <c r="C354" s="7" t="s">
        <v>26</v>
      </c>
      <c r="D354" s="7"/>
      <c r="E354" s="7"/>
      <c r="F354" s="7">
        <f t="shared" ref="F354:F365" si="59">S269</f>
        <v>0</v>
      </c>
      <c r="G354" s="8"/>
      <c r="H354" s="7">
        <f t="shared" si="58"/>
        <v>0</v>
      </c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9">
        <f t="shared" si="48"/>
        <v>0</v>
      </c>
      <c r="T354" s="10">
        <f t="shared" si="49"/>
        <v>0</v>
      </c>
      <c r="U354" s="10"/>
    </row>
    <row r="355" spans="1:21">
      <c r="A355" s="6"/>
      <c r="B355" s="11" t="s">
        <v>39</v>
      </c>
      <c r="C355" s="7" t="s">
        <v>26</v>
      </c>
      <c r="D355" s="7"/>
      <c r="E355" s="7"/>
      <c r="F355" s="7">
        <f t="shared" si="59"/>
        <v>292</v>
      </c>
      <c r="G355" s="8"/>
      <c r="H355" s="7">
        <f t="shared" si="58"/>
        <v>0</v>
      </c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9">
        <f t="shared" si="48"/>
        <v>292</v>
      </c>
      <c r="T355" s="10">
        <f t="shared" si="49"/>
        <v>0</v>
      </c>
      <c r="U355" s="10"/>
    </row>
    <row r="356" spans="1:21">
      <c r="A356" s="6"/>
      <c r="B356" s="11" t="s">
        <v>40</v>
      </c>
      <c r="C356" s="7" t="s">
        <v>41</v>
      </c>
      <c r="D356" s="7"/>
      <c r="E356" s="7"/>
      <c r="F356" s="7">
        <f t="shared" si="59"/>
        <v>0</v>
      </c>
      <c r="G356" s="8"/>
      <c r="H356" s="7">
        <f t="shared" si="58"/>
        <v>0</v>
      </c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9">
        <f t="shared" si="48"/>
        <v>0</v>
      </c>
      <c r="T356" s="10">
        <f t="shared" si="49"/>
        <v>0</v>
      </c>
      <c r="U356" s="10"/>
    </row>
    <row r="357" spans="1:21">
      <c r="A357" s="6"/>
      <c r="B357" s="11" t="s">
        <v>42</v>
      </c>
      <c r="C357" s="7" t="s">
        <v>41</v>
      </c>
      <c r="D357" s="7"/>
      <c r="E357" s="7"/>
      <c r="F357" s="7">
        <f t="shared" si="59"/>
        <v>53</v>
      </c>
      <c r="G357" s="8"/>
      <c r="H357" s="7">
        <f t="shared" si="58"/>
        <v>0</v>
      </c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9">
        <f t="shared" si="48"/>
        <v>53</v>
      </c>
      <c r="T357" s="10">
        <f t="shared" si="49"/>
        <v>0</v>
      </c>
      <c r="U357" s="10"/>
    </row>
    <row r="358" spans="1:21">
      <c r="A358" s="6"/>
      <c r="B358" s="11" t="s">
        <v>43</v>
      </c>
      <c r="C358" s="7" t="s">
        <v>41</v>
      </c>
      <c r="D358" s="7"/>
      <c r="E358" s="7"/>
      <c r="F358" s="7">
        <f t="shared" si="59"/>
        <v>0</v>
      </c>
      <c r="G358" s="8"/>
      <c r="H358" s="7">
        <f t="shared" si="58"/>
        <v>0</v>
      </c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9">
        <f t="shared" si="48"/>
        <v>0</v>
      </c>
      <c r="T358" s="10">
        <f t="shared" si="49"/>
        <v>0</v>
      </c>
      <c r="U358" s="10"/>
    </row>
    <row r="359" spans="1:21">
      <c r="A359" s="6"/>
      <c r="B359" s="11" t="s">
        <v>44</v>
      </c>
      <c r="C359" s="7" t="s">
        <v>41</v>
      </c>
      <c r="D359" s="7"/>
      <c r="E359" s="7"/>
      <c r="F359" s="7">
        <f t="shared" si="59"/>
        <v>75</v>
      </c>
      <c r="G359" s="8"/>
      <c r="H359" s="7">
        <f t="shared" si="58"/>
        <v>0</v>
      </c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9">
        <f t="shared" si="48"/>
        <v>75</v>
      </c>
      <c r="T359" s="10">
        <f t="shared" si="49"/>
        <v>0</v>
      </c>
      <c r="U359" s="10"/>
    </row>
    <row r="360" spans="1:21">
      <c r="A360" s="6"/>
      <c r="B360" s="11" t="s">
        <v>45</v>
      </c>
      <c r="C360" s="7" t="s">
        <v>41</v>
      </c>
      <c r="D360" s="7"/>
      <c r="E360" s="7"/>
      <c r="F360" s="7">
        <f t="shared" ref="F360:F385" si="60">S275</f>
        <v>0</v>
      </c>
      <c r="G360" s="8"/>
      <c r="H360" s="7">
        <f t="shared" si="58"/>
        <v>0</v>
      </c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9">
        <f t="shared" si="48"/>
        <v>0</v>
      </c>
      <c r="T360" s="10">
        <f t="shared" si="49"/>
        <v>0</v>
      </c>
      <c r="U360" s="10"/>
    </row>
    <row r="361" spans="1:21">
      <c r="A361" s="6"/>
      <c r="B361" s="11" t="s">
        <v>46</v>
      </c>
      <c r="C361" s="7" t="s">
        <v>41</v>
      </c>
      <c r="D361" s="7"/>
      <c r="E361" s="7"/>
      <c r="F361" s="7">
        <f t="shared" si="60"/>
        <v>17</v>
      </c>
      <c r="G361" s="8"/>
      <c r="H361" s="7">
        <f t="shared" si="58"/>
        <v>0</v>
      </c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9">
        <f t="shared" si="48"/>
        <v>17</v>
      </c>
      <c r="T361" s="10">
        <f t="shared" si="49"/>
        <v>0</v>
      </c>
      <c r="U361" s="10"/>
    </row>
    <row r="362" spans="1:21">
      <c r="A362" s="6"/>
      <c r="B362" s="11" t="s">
        <v>47</v>
      </c>
      <c r="C362" s="7" t="s">
        <v>26</v>
      </c>
      <c r="D362" s="7"/>
      <c r="E362" s="7"/>
      <c r="F362" s="7">
        <f t="shared" si="60"/>
        <v>398</v>
      </c>
      <c r="G362" s="8">
        <v>30</v>
      </c>
      <c r="H362" s="7">
        <f t="shared" si="58"/>
        <v>0</v>
      </c>
      <c r="I362" s="7"/>
      <c r="J362" s="7">
        <v>428</v>
      </c>
      <c r="K362" s="7"/>
      <c r="L362" s="7"/>
      <c r="M362" s="7"/>
      <c r="N362" s="7"/>
      <c r="O362" s="7"/>
      <c r="P362" s="7"/>
      <c r="Q362" s="7"/>
      <c r="R362" s="7"/>
      <c r="S362" s="9">
        <f t="shared" si="48"/>
        <v>0</v>
      </c>
      <c r="T362" s="10">
        <f t="shared" si="49"/>
        <v>0</v>
      </c>
      <c r="U362" s="10"/>
    </row>
    <row r="363" spans="1:21">
      <c r="A363" s="6"/>
      <c r="B363" s="11" t="s">
        <v>48</v>
      </c>
      <c r="C363" s="7" t="s">
        <v>26</v>
      </c>
      <c r="D363" s="7"/>
      <c r="E363" s="7"/>
      <c r="F363" s="7">
        <f t="shared" si="60"/>
        <v>48609</v>
      </c>
      <c r="G363" s="8"/>
      <c r="H363" s="7">
        <f t="shared" si="58"/>
        <v>0</v>
      </c>
      <c r="I363" s="7"/>
      <c r="J363" s="7">
        <v>2460</v>
      </c>
      <c r="K363" s="7"/>
      <c r="L363" s="7"/>
      <c r="M363" s="7">
        <v>103</v>
      </c>
      <c r="N363" s="7"/>
      <c r="O363" s="7"/>
      <c r="P363" s="7">
        <v>720</v>
      </c>
      <c r="Q363" s="7"/>
      <c r="R363" s="7"/>
      <c r="S363" s="9">
        <f t="shared" si="48"/>
        <v>45532</v>
      </c>
      <c r="T363" s="10">
        <f t="shared" si="49"/>
        <v>0</v>
      </c>
      <c r="U363" s="10" t="s">
        <v>108</v>
      </c>
    </row>
    <row r="364" spans="1:21">
      <c r="A364" s="6"/>
      <c r="B364" s="11" t="s">
        <v>50</v>
      </c>
      <c r="C364" s="7" t="s">
        <v>26</v>
      </c>
      <c r="D364" s="7"/>
      <c r="E364" s="7"/>
      <c r="F364" s="7">
        <f t="shared" si="60"/>
        <v>0</v>
      </c>
      <c r="G364" s="8"/>
      <c r="H364" s="7">
        <f t="shared" si="58"/>
        <v>0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9">
        <f t="shared" si="48"/>
        <v>0</v>
      </c>
      <c r="T364" s="10">
        <f t="shared" si="49"/>
        <v>0</v>
      </c>
      <c r="U364" s="10"/>
    </row>
    <row r="365" spans="1:21">
      <c r="A365" s="6"/>
      <c r="B365" s="11" t="s">
        <v>51</v>
      </c>
      <c r="C365" s="7" t="s">
        <v>26</v>
      </c>
      <c r="D365" s="7"/>
      <c r="E365" s="7"/>
      <c r="F365" s="7">
        <f t="shared" si="60"/>
        <v>300</v>
      </c>
      <c r="G365" s="8"/>
      <c r="H365" s="7">
        <f t="shared" si="58"/>
        <v>0</v>
      </c>
      <c r="I365" s="7"/>
      <c r="J365" s="7">
        <v>300</v>
      </c>
      <c r="K365" s="7"/>
      <c r="L365" s="7"/>
      <c r="M365" s="7"/>
      <c r="N365" s="7"/>
      <c r="O365" s="7"/>
      <c r="P365" s="7"/>
      <c r="Q365" s="7"/>
      <c r="R365" s="7"/>
      <c r="S365" s="9">
        <f t="shared" si="48"/>
        <v>0</v>
      </c>
      <c r="T365" s="10">
        <f t="shared" si="49"/>
        <v>0</v>
      </c>
      <c r="U365" s="10"/>
    </row>
    <row r="366" spans="1:21">
      <c r="A366" s="6"/>
      <c r="B366" s="11" t="s">
        <v>52</v>
      </c>
      <c r="C366" s="7" t="s">
        <v>26</v>
      </c>
      <c r="D366" s="7"/>
      <c r="E366" s="7"/>
      <c r="F366" s="7">
        <f t="shared" si="60"/>
        <v>16894</v>
      </c>
      <c r="G366" s="8"/>
      <c r="H366" s="7">
        <f t="shared" si="58"/>
        <v>0</v>
      </c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9">
        <f t="shared" si="48"/>
        <v>16894</v>
      </c>
      <c r="T366" s="10">
        <f t="shared" si="49"/>
        <v>0</v>
      </c>
      <c r="U366" s="10"/>
    </row>
    <row r="367" spans="1:21">
      <c r="A367" s="6"/>
      <c r="B367" s="11" t="s">
        <v>53</v>
      </c>
      <c r="C367" s="7" t="s">
        <v>54</v>
      </c>
      <c r="D367" s="7"/>
      <c r="E367" s="7"/>
      <c r="F367" s="7">
        <f t="shared" si="60"/>
        <v>0</v>
      </c>
      <c r="G367" s="8"/>
      <c r="H367" s="7">
        <f t="shared" si="58"/>
        <v>0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9">
        <f t="shared" ref="S367:S430" si="61">F367+G367-J367-K367-L367+M367+O367-P367-R367</f>
        <v>0</v>
      </c>
      <c r="T367" s="10">
        <f t="shared" ref="T367:T430" si="62">H367+I367+N367+R367-Q367</f>
        <v>0</v>
      </c>
      <c r="U367" s="10"/>
    </row>
    <row r="368" spans="1:21">
      <c r="A368" s="6"/>
      <c r="B368" s="11" t="s">
        <v>55</v>
      </c>
      <c r="C368" s="7" t="s">
        <v>54</v>
      </c>
      <c r="D368" s="7"/>
      <c r="E368" s="7"/>
      <c r="F368" s="7">
        <f t="shared" si="60"/>
        <v>15</v>
      </c>
      <c r="G368" s="8"/>
      <c r="H368" s="7">
        <f t="shared" si="58"/>
        <v>0</v>
      </c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9">
        <f t="shared" si="61"/>
        <v>15</v>
      </c>
      <c r="T368" s="10">
        <f t="shared" si="62"/>
        <v>0</v>
      </c>
      <c r="U368" s="10"/>
    </row>
    <row r="369" spans="1:21">
      <c r="A369" s="6"/>
      <c r="B369" s="11" t="s">
        <v>56</v>
      </c>
      <c r="C369" s="7" t="s">
        <v>54</v>
      </c>
      <c r="D369" s="7"/>
      <c r="E369" s="7"/>
      <c r="F369" s="7">
        <f t="shared" si="60"/>
        <v>1245</v>
      </c>
      <c r="G369" s="8"/>
      <c r="H369" s="7">
        <f t="shared" si="58"/>
        <v>0</v>
      </c>
      <c r="I369" s="7"/>
      <c r="J369" s="7">
        <v>180</v>
      </c>
      <c r="K369" s="7"/>
      <c r="L369" s="7"/>
      <c r="M369" s="7"/>
      <c r="N369" s="7"/>
      <c r="O369" s="7"/>
      <c r="P369" s="7"/>
      <c r="Q369" s="7"/>
      <c r="R369" s="7"/>
      <c r="S369" s="9">
        <f t="shared" si="61"/>
        <v>1065</v>
      </c>
      <c r="T369" s="10">
        <f t="shared" si="62"/>
        <v>0</v>
      </c>
      <c r="U369" s="10"/>
    </row>
    <row r="370" spans="1:21">
      <c r="A370" s="6"/>
      <c r="B370" s="11" t="s">
        <v>57</v>
      </c>
      <c r="C370" s="7" t="s">
        <v>54</v>
      </c>
      <c r="D370" s="7"/>
      <c r="E370" s="7"/>
      <c r="F370" s="7">
        <f t="shared" si="60"/>
        <v>390</v>
      </c>
      <c r="G370" s="8"/>
      <c r="H370" s="7">
        <f t="shared" si="58"/>
        <v>0</v>
      </c>
      <c r="I370" s="7"/>
      <c r="J370" s="7"/>
      <c r="K370" s="7"/>
      <c r="L370" s="7"/>
      <c r="M370" s="7">
        <v>53</v>
      </c>
      <c r="N370" s="7"/>
      <c r="O370" s="7"/>
      <c r="P370" s="7"/>
      <c r="Q370" s="7"/>
      <c r="R370" s="7"/>
      <c r="S370" s="9">
        <f t="shared" si="61"/>
        <v>443</v>
      </c>
      <c r="T370" s="10">
        <f t="shared" si="62"/>
        <v>0</v>
      </c>
      <c r="U370" s="10"/>
    </row>
    <row r="371" spans="1:21">
      <c r="A371" s="6"/>
      <c r="B371" s="11" t="s">
        <v>58</v>
      </c>
      <c r="C371" s="7" t="s">
        <v>54</v>
      </c>
      <c r="D371" s="7"/>
      <c r="E371" s="7"/>
      <c r="F371" s="7">
        <f t="shared" si="60"/>
        <v>0</v>
      </c>
      <c r="G371" s="8"/>
      <c r="H371" s="7">
        <f t="shared" si="58"/>
        <v>0</v>
      </c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9">
        <f t="shared" si="61"/>
        <v>0</v>
      </c>
      <c r="T371" s="10">
        <f t="shared" si="62"/>
        <v>0</v>
      </c>
      <c r="U371" s="10"/>
    </row>
    <row r="372" spans="1:21">
      <c r="A372" s="6"/>
      <c r="B372" s="11" t="s">
        <v>59</v>
      </c>
      <c r="C372" s="7" t="s">
        <v>54</v>
      </c>
      <c r="D372" s="7"/>
      <c r="E372" s="7"/>
      <c r="F372" s="7">
        <f t="shared" si="60"/>
        <v>19</v>
      </c>
      <c r="G372" s="8"/>
      <c r="H372" s="7">
        <f t="shared" si="58"/>
        <v>0</v>
      </c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9">
        <f t="shared" si="61"/>
        <v>19</v>
      </c>
      <c r="T372" s="10">
        <f t="shared" si="62"/>
        <v>0</v>
      </c>
      <c r="U372" s="10"/>
    </row>
    <row r="373" spans="1:21">
      <c r="A373" s="6"/>
      <c r="B373" s="11" t="s">
        <v>60</v>
      </c>
      <c r="C373" s="7" t="s">
        <v>61</v>
      </c>
      <c r="D373" s="7"/>
      <c r="E373" s="7"/>
      <c r="F373" s="7">
        <f t="shared" si="60"/>
        <v>0</v>
      </c>
      <c r="G373" s="8"/>
      <c r="H373" s="7">
        <f t="shared" si="58"/>
        <v>0</v>
      </c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9">
        <f t="shared" si="61"/>
        <v>0</v>
      </c>
      <c r="T373" s="10">
        <f t="shared" si="62"/>
        <v>0</v>
      </c>
      <c r="U373" s="10"/>
    </row>
    <row r="374" spans="1:21">
      <c r="A374" s="6"/>
      <c r="B374" s="11" t="s">
        <v>62</v>
      </c>
      <c r="C374" s="7" t="s">
        <v>61</v>
      </c>
      <c r="D374" s="7"/>
      <c r="E374" s="7"/>
      <c r="F374" s="7">
        <f t="shared" si="60"/>
        <v>11</v>
      </c>
      <c r="G374" s="8"/>
      <c r="H374" s="7">
        <f t="shared" si="58"/>
        <v>0</v>
      </c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9">
        <f t="shared" si="61"/>
        <v>11</v>
      </c>
      <c r="T374" s="10">
        <f t="shared" si="62"/>
        <v>0</v>
      </c>
      <c r="U374" s="10"/>
    </row>
    <row r="375" spans="1:21">
      <c r="A375" s="6"/>
      <c r="B375" s="10" t="s">
        <v>63</v>
      </c>
      <c r="C375" s="10" t="s">
        <v>41</v>
      </c>
      <c r="D375" s="7"/>
      <c r="E375" s="7"/>
      <c r="F375" s="7">
        <f t="shared" si="60"/>
        <v>0</v>
      </c>
      <c r="G375" s="8"/>
      <c r="H375" s="7">
        <f t="shared" si="58"/>
        <v>0</v>
      </c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9">
        <f t="shared" si="61"/>
        <v>0</v>
      </c>
      <c r="T375" s="10">
        <f t="shared" si="62"/>
        <v>0</v>
      </c>
      <c r="U375" s="10"/>
    </row>
    <row r="376" spans="1:21">
      <c r="A376" s="6"/>
      <c r="B376" s="10" t="s">
        <v>64</v>
      </c>
      <c r="C376" s="10" t="s">
        <v>41</v>
      </c>
      <c r="D376" s="7"/>
      <c r="E376" s="7"/>
      <c r="F376" s="7">
        <f t="shared" si="60"/>
        <v>5</v>
      </c>
      <c r="G376" s="8"/>
      <c r="H376" s="7">
        <f t="shared" si="58"/>
        <v>0</v>
      </c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9">
        <f t="shared" si="61"/>
        <v>5</v>
      </c>
      <c r="T376" s="10">
        <f t="shared" si="62"/>
        <v>0</v>
      </c>
      <c r="U376" s="10"/>
    </row>
    <row r="377" spans="1:21">
      <c r="A377" s="6"/>
      <c r="B377" s="11" t="s">
        <v>65</v>
      </c>
      <c r="C377" s="7" t="s">
        <v>26</v>
      </c>
      <c r="D377" s="7"/>
      <c r="E377" s="7"/>
      <c r="F377" s="7">
        <f t="shared" ref="F377:F395" si="63">S292</f>
        <v>0</v>
      </c>
      <c r="G377" s="8"/>
      <c r="H377" s="7">
        <f t="shared" si="58"/>
        <v>0</v>
      </c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9">
        <f t="shared" si="61"/>
        <v>0</v>
      </c>
      <c r="T377" s="10">
        <f t="shared" si="62"/>
        <v>0</v>
      </c>
      <c r="U377" s="10"/>
    </row>
    <row r="378" spans="1:21">
      <c r="A378" s="6"/>
      <c r="B378" s="11" t="s">
        <v>66</v>
      </c>
      <c r="C378" s="7" t="s">
        <v>26</v>
      </c>
      <c r="D378" s="7"/>
      <c r="E378" s="7"/>
      <c r="F378" s="7">
        <f t="shared" si="63"/>
        <v>71</v>
      </c>
      <c r="G378" s="8"/>
      <c r="H378" s="7">
        <f t="shared" si="58"/>
        <v>0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9">
        <f t="shared" si="61"/>
        <v>71</v>
      </c>
      <c r="T378" s="10">
        <f t="shared" si="62"/>
        <v>0</v>
      </c>
      <c r="U378" s="10"/>
    </row>
    <row r="379" spans="1:21">
      <c r="A379" s="6"/>
      <c r="B379" s="11" t="s">
        <v>67</v>
      </c>
      <c r="C379" s="7" t="s">
        <v>26</v>
      </c>
      <c r="D379" s="7"/>
      <c r="E379" s="7"/>
      <c r="F379" s="7">
        <f t="shared" si="63"/>
        <v>0</v>
      </c>
      <c r="G379" s="8"/>
      <c r="H379" s="7">
        <f t="shared" si="58"/>
        <v>0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9">
        <f t="shared" si="61"/>
        <v>0</v>
      </c>
      <c r="T379" s="10">
        <f t="shared" si="62"/>
        <v>0</v>
      </c>
      <c r="U379" s="10"/>
    </row>
    <row r="380" spans="1:21">
      <c r="A380" s="6"/>
      <c r="B380" s="11" t="s">
        <v>68</v>
      </c>
      <c r="C380" s="7" t="s">
        <v>26</v>
      </c>
      <c r="D380" s="7"/>
      <c r="E380" s="7"/>
      <c r="F380" s="7">
        <f t="shared" si="63"/>
        <v>7</v>
      </c>
      <c r="G380" s="8"/>
      <c r="H380" s="7">
        <f t="shared" si="58"/>
        <v>0</v>
      </c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9">
        <f t="shared" si="61"/>
        <v>7</v>
      </c>
      <c r="T380" s="10">
        <f t="shared" si="62"/>
        <v>0</v>
      </c>
      <c r="U380" s="10"/>
    </row>
    <row r="381" spans="1:21">
      <c r="A381" s="6"/>
      <c r="B381" s="11" t="s">
        <v>69</v>
      </c>
      <c r="C381" s="7" t="s">
        <v>41</v>
      </c>
      <c r="D381" s="7"/>
      <c r="E381" s="7"/>
      <c r="F381" s="7">
        <f t="shared" si="63"/>
        <v>0</v>
      </c>
      <c r="G381" s="8"/>
      <c r="H381" s="7">
        <f t="shared" si="58"/>
        <v>0</v>
      </c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9">
        <f t="shared" si="61"/>
        <v>0</v>
      </c>
      <c r="T381" s="10">
        <f t="shared" si="62"/>
        <v>0</v>
      </c>
      <c r="U381" s="10"/>
    </row>
    <row r="382" spans="1:21">
      <c r="A382" s="6"/>
      <c r="B382" s="11" t="s">
        <v>70</v>
      </c>
      <c r="C382" s="7" t="s">
        <v>41</v>
      </c>
      <c r="D382" s="7"/>
      <c r="E382" s="7"/>
      <c r="F382" s="7">
        <f t="shared" si="63"/>
        <v>13</v>
      </c>
      <c r="G382" s="8"/>
      <c r="H382" s="7">
        <f t="shared" si="58"/>
        <v>0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9">
        <f t="shared" si="61"/>
        <v>13</v>
      </c>
      <c r="T382" s="10">
        <f t="shared" si="62"/>
        <v>0</v>
      </c>
      <c r="U382" s="10"/>
    </row>
    <row r="383" spans="1:21">
      <c r="A383" s="6"/>
      <c r="B383" s="11" t="s">
        <v>71</v>
      </c>
      <c r="C383" s="7" t="s">
        <v>61</v>
      </c>
      <c r="D383" s="7"/>
      <c r="E383" s="7"/>
      <c r="F383" s="7">
        <f t="shared" si="63"/>
        <v>0</v>
      </c>
      <c r="G383" s="8"/>
      <c r="H383" s="7">
        <f t="shared" si="58"/>
        <v>0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9">
        <f t="shared" si="61"/>
        <v>0</v>
      </c>
      <c r="T383" s="10">
        <f t="shared" si="62"/>
        <v>0</v>
      </c>
      <c r="U383" s="10"/>
    </row>
    <row r="384" spans="1:21">
      <c r="A384" s="6"/>
      <c r="B384" s="11" t="s">
        <v>72</v>
      </c>
      <c r="C384" s="7" t="s">
        <v>61</v>
      </c>
      <c r="D384" s="7"/>
      <c r="E384" s="7"/>
      <c r="F384" s="7">
        <f t="shared" si="63"/>
        <v>8</v>
      </c>
      <c r="G384" s="8"/>
      <c r="H384" s="7">
        <f t="shared" si="58"/>
        <v>0</v>
      </c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9">
        <f t="shared" si="61"/>
        <v>8</v>
      </c>
      <c r="T384" s="10">
        <f t="shared" si="62"/>
        <v>0</v>
      </c>
      <c r="U384" s="10"/>
    </row>
    <row r="385" spans="1:21">
      <c r="A385" s="6"/>
      <c r="B385" s="11" t="s">
        <v>73</v>
      </c>
      <c r="C385" s="7" t="s">
        <v>26</v>
      </c>
      <c r="D385" s="7"/>
      <c r="E385" s="7"/>
      <c r="F385" s="7">
        <f t="shared" si="63"/>
        <v>0</v>
      </c>
      <c r="G385" s="8"/>
      <c r="H385" s="7">
        <f t="shared" si="58"/>
        <v>0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9">
        <f t="shared" si="61"/>
        <v>0</v>
      </c>
      <c r="T385" s="10">
        <f t="shared" si="62"/>
        <v>0</v>
      </c>
      <c r="U385" s="10"/>
    </row>
    <row r="386" spans="1:21">
      <c r="A386" s="6"/>
      <c r="B386" s="11" t="s">
        <v>74</v>
      </c>
      <c r="C386" s="7" t="s">
        <v>26</v>
      </c>
      <c r="D386" s="7"/>
      <c r="E386" s="7"/>
      <c r="F386" s="7">
        <f t="shared" si="63"/>
        <v>424</v>
      </c>
      <c r="G386" s="8"/>
      <c r="H386" s="7">
        <f t="shared" si="58"/>
        <v>0</v>
      </c>
      <c r="I386" s="7"/>
      <c r="J386" s="7">
        <v>424</v>
      </c>
      <c r="K386" s="7"/>
      <c r="L386" s="7"/>
      <c r="M386" s="7"/>
      <c r="N386" s="7"/>
      <c r="O386" s="7"/>
      <c r="P386" s="7"/>
      <c r="Q386" s="7"/>
      <c r="R386" s="7"/>
      <c r="S386" s="9">
        <f t="shared" si="61"/>
        <v>0</v>
      </c>
      <c r="T386" s="10">
        <f t="shared" si="62"/>
        <v>0</v>
      </c>
      <c r="U386" s="10"/>
    </row>
    <row r="387" spans="1:21">
      <c r="A387" s="6"/>
      <c r="B387" s="11" t="s">
        <v>75</v>
      </c>
      <c r="C387" s="7" t="s">
        <v>26</v>
      </c>
      <c r="D387" s="7"/>
      <c r="E387" s="7"/>
      <c r="F387" s="7">
        <f t="shared" si="63"/>
        <v>0</v>
      </c>
      <c r="G387" s="8"/>
      <c r="H387" s="7">
        <f t="shared" si="58"/>
        <v>0</v>
      </c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9">
        <f t="shared" si="61"/>
        <v>0</v>
      </c>
      <c r="T387" s="10">
        <f t="shared" si="62"/>
        <v>0</v>
      </c>
      <c r="U387" s="10"/>
    </row>
    <row r="388" spans="1:21">
      <c r="A388" s="6"/>
      <c r="B388" s="11" t="s">
        <v>76</v>
      </c>
      <c r="C388" s="7" t="s">
        <v>26</v>
      </c>
      <c r="D388" s="7"/>
      <c r="E388" s="7"/>
      <c r="F388" s="7">
        <f t="shared" si="63"/>
        <v>275</v>
      </c>
      <c r="G388" s="8">
        <v>1</v>
      </c>
      <c r="H388" s="7">
        <f t="shared" si="58"/>
        <v>0</v>
      </c>
      <c r="I388" s="7"/>
      <c r="J388" s="7">
        <v>276</v>
      </c>
      <c r="K388" s="7"/>
      <c r="L388" s="7"/>
      <c r="M388" s="7"/>
      <c r="N388" s="7"/>
      <c r="O388" s="7"/>
      <c r="P388" s="7"/>
      <c r="Q388" s="7"/>
      <c r="R388" s="7"/>
      <c r="S388" s="9">
        <f t="shared" si="61"/>
        <v>0</v>
      </c>
      <c r="T388" s="10">
        <f t="shared" si="62"/>
        <v>0</v>
      </c>
      <c r="U388" s="10"/>
    </row>
    <row r="389" spans="1:21">
      <c r="A389" s="6"/>
      <c r="B389" s="11" t="s">
        <v>77</v>
      </c>
      <c r="C389" s="7" t="s">
        <v>61</v>
      </c>
      <c r="D389" s="7"/>
      <c r="E389" s="7"/>
      <c r="F389" s="7">
        <f t="shared" si="63"/>
        <v>0</v>
      </c>
      <c r="G389" s="8"/>
      <c r="H389" s="7">
        <f t="shared" si="58"/>
        <v>0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9">
        <f t="shared" si="61"/>
        <v>0</v>
      </c>
      <c r="T389" s="10">
        <f t="shared" si="62"/>
        <v>0</v>
      </c>
      <c r="U389" s="10"/>
    </row>
    <row r="390" spans="1:21">
      <c r="A390" s="6"/>
      <c r="B390" s="11" t="s">
        <v>78</v>
      </c>
      <c r="C390" s="7" t="s">
        <v>61</v>
      </c>
      <c r="D390" s="7"/>
      <c r="E390" s="7"/>
      <c r="F390" s="7">
        <f t="shared" si="63"/>
        <v>69</v>
      </c>
      <c r="G390" s="8"/>
      <c r="H390" s="7">
        <f t="shared" si="58"/>
        <v>0</v>
      </c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9">
        <f t="shared" si="61"/>
        <v>69</v>
      </c>
      <c r="T390" s="10">
        <f t="shared" si="62"/>
        <v>0</v>
      </c>
      <c r="U390" s="10"/>
    </row>
    <row r="391" spans="1:21">
      <c r="A391" s="6"/>
      <c r="B391" s="11" t="s">
        <v>105</v>
      </c>
      <c r="C391" s="7" t="s">
        <v>26</v>
      </c>
      <c r="D391" s="7"/>
      <c r="E391" s="7"/>
      <c r="F391" s="7">
        <f t="shared" si="63"/>
        <v>914</v>
      </c>
      <c r="G391" s="8"/>
      <c r="H391" s="7">
        <f t="shared" si="58"/>
        <v>0</v>
      </c>
      <c r="I391" s="7"/>
      <c r="J391" s="7">
        <v>240</v>
      </c>
      <c r="K391" s="7"/>
      <c r="L391" s="7"/>
      <c r="M391" s="7"/>
      <c r="N391" s="7"/>
      <c r="O391" s="7"/>
      <c r="P391" s="7"/>
      <c r="Q391" s="7"/>
      <c r="R391" s="7"/>
      <c r="S391" s="9">
        <f t="shared" si="61"/>
        <v>674</v>
      </c>
      <c r="T391" s="10">
        <f t="shared" si="62"/>
        <v>0</v>
      </c>
      <c r="U391" s="10"/>
    </row>
    <row r="392" spans="1:21">
      <c r="A392" s="6"/>
      <c r="B392" s="11" t="s">
        <v>80</v>
      </c>
      <c r="C392" s="7" t="s">
        <v>26</v>
      </c>
      <c r="D392" s="7"/>
      <c r="E392" s="7"/>
      <c r="F392" s="7">
        <f t="shared" si="63"/>
        <v>448</v>
      </c>
      <c r="G392" s="8"/>
      <c r="H392" s="7">
        <f t="shared" ref="H392:H451" si="64">T307</f>
        <v>0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9">
        <f t="shared" si="61"/>
        <v>448</v>
      </c>
      <c r="T392" s="10">
        <f t="shared" si="62"/>
        <v>0</v>
      </c>
      <c r="U392" s="10"/>
    </row>
    <row r="393" spans="1:21">
      <c r="A393" s="6"/>
      <c r="B393" s="11" t="s">
        <v>81</v>
      </c>
      <c r="C393" s="7" t="s">
        <v>26</v>
      </c>
      <c r="D393" s="7"/>
      <c r="E393" s="7"/>
      <c r="F393" s="7">
        <f t="shared" ref="F393:F406" si="65">S308</f>
        <v>0</v>
      </c>
      <c r="G393" s="8"/>
      <c r="H393" s="7">
        <f t="shared" si="64"/>
        <v>0</v>
      </c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9">
        <f t="shared" si="61"/>
        <v>0</v>
      </c>
      <c r="T393" s="10">
        <f t="shared" si="62"/>
        <v>0</v>
      </c>
      <c r="U393" s="10"/>
    </row>
    <row r="394" spans="1:21">
      <c r="A394" s="6"/>
      <c r="B394" s="11" t="s">
        <v>82</v>
      </c>
      <c r="C394" s="7" t="s">
        <v>26</v>
      </c>
      <c r="D394" s="7"/>
      <c r="E394" s="7"/>
      <c r="F394" s="7">
        <f t="shared" si="65"/>
        <v>14</v>
      </c>
      <c r="G394" s="8"/>
      <c r="H394" s="7">
        <f t="shared" si="64"/>
        <v>0</v>
      </c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9">
        <f t="shared" si="61"/>
        <v>14</v>
      </c>
      <c r="T394" s="10">
        <f t="shared" si="62"/>
        <v>0</v>
      </c>
      <c r="U394" s="10"/>
    </row>
    <row r="395" spans="1:21">
      <c r="A395" s="6"/>
      <c r="B395" s="11" t="s">
        <v>83</v>
      </c>
      <c r="C395" s="7" t="s">
        <v>26</v>
      </c>
      <c r="D395" s="7"/>
      <c r="E395" s="7"/>
      <c r="F395" s="7">
        <f t="shared" si="65"/>
        <v>0</v>
      </c>
      <c r="G395" s="8"/>
      <c r="H395" s="7">
        <f t="shared" si="64"/>
        <v>0</v>
      </c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9">
        <f t="shared" si="61"/>
        <v>0</v>
      </c>
      <c r="T395" s="10">
        <f t="shared" si="62"/>
        <v>0</v>
      </c>
      <c r="U395" s="10"/>
    </row>
    <row r="396" spans="1:21">
      <c r="A396" s="6"/>
      <c r="B396" s="11" t="s">
        <v>84</v>
      </c>
      <c r="C396" s="7" t="s">
        <v>26</v>
      </c>
      <c r="D396" s="7"/>
      <c r="E396" s="7"/>
      <c r="F396" s="7">
        <f t="shared" si="65"/>
        <v>28</v>
      </c>
      <c r="G396" s="8"/>
      <c r="H396" s="7">
        <f t="shared" si="64"/>
        <v>0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9">
        <f t="shared" si="61"/>
        <v>28</v>
      </c>
      <c r="T396" s="10">
        <f t="shared" si="62"/>
        <v>0</v>
      </c>
      <c r="U396" s="10"/>
    </row>
    <row r="397" spans="1:21">
      <c r="A397" s="6"/>
      <c r="B397" s="11" t="s">
        <v>85</v>
      </c>
      <c r="C397" s="7" t="s">
        <v>61</v>
      </c>
      <c r="D397" s="7"/>
      <c r="E397" s="7"/>
      <c r="F397" s="7">
        <f t="shared" si="65"/>
        <v>0</v>
      </c>
      <c r="G397" s="8"/>
      <c r="H397" s="7">
        <f t="shared" si="64"/>
        <v>0</v>
      </c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9">
        <f t="shared" si="61"/>
        <v>0</v>
      </c>
      <c r="T397" s="10">
        <f t="shared" si="62"/>
        <v>0</v>
      </c>
      <c r="U397" s="10"/>
    </row>
    <row r="398" spans="1:21">
      <c r="A398" s="6"/>
      <c r="B398" s="11" t="s">
        <v>86</v>
      </c>
      <c r="C398" s="7" t="s">
        <v>61</v>
      </c>
      <c r="D398" s="7"/>
      <c r="E398" s="7"/>
      <c r="F398" s="7">
        <f t="shared" si="65"/>
        <v>10</v>
      </c>
      <c r="G398" s="8"/>
      <c r="H398" s="7">
        <f t="shared" si="64"/>
        <v>0</v>
      </c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9">
        <f t="shared" si="61"/>
        <v>10</v>
      </c>
      <c r="T398" s="10">
        <f t="shared" si="62"/>
        <v>0</v>
      </c>
      <c r="U398" s="10"/>
    </row>
    <row r="399" spans="1:21">
      <c r="A399" s="6"/>
      <c r="B399" s="11" t="s">
        <v>87</v>
      </c>
      <c r="C399" s="7" t="s">
        <v>26</v>
      </c>
      <c r="D399" s="7"/>
      <c r="E399" s="7"/>
      <c r="F399" s="7">
        <f t="shared" si="65"/>
        <v>36</v>
      </c>
      <c r="G399" s="8"/>
      <c r="H399" s="7">
        <f t="shared" si="64"/>
        <v>0</v>
      </c>
      <c r="I399" s="7"/>
      <c r="J399" s="7">
        <v>35</v>
      </c>
      <c r="K399" s="7"/>
      <c r="L399" s="7"/>
      <c r="M399" s="7"/>
      <c r="N399" s="7"/>
      <c r="O399" s="7"/>
      <c r="P399" s="7">
        <v>1</v>
      </c>
      <c r="Q399" s="7"/>
      <c r="R399" s="7"/>
      <c r="S399" s="9">
        <f t="shared" si="61"/>
        <v>0</v>
      </c>
      <c r="T399" s="10">
        <f t="shared" si="62"/>
        <v>0</v>
      </c>
      <c r="U399" s="10"/>
    </row>
    <row r="400" spans="1:21">
      <c r="A400" s="6"/>
      <c r="B400" s="11" t="s">
        <v>88</v>
      </c>
      <c r="C400" s="10"/>
      <c r="D400" s="7"/>
      <c r="E400" s="7"/>
      <c r="F400" s="7">
        <f t="shared" si="65"/>
        <v>119</v>
      </c>
      <c r="G400" s="8"/>
      <c r="H400" s="7">
        <f t="shared" si="64"/>
        <v>0</v>
      </c>
      <c r="I400" s="7"/>
      <c r="J400" s="7">
        <v>111</v>
      </c>
      <c r="K400" s="7"/>
      <c r="L400" s="7"/>
      <c r="M400" s="7"/>
      <c r="N400" s="7"/>
      <c r="O400" s="7"/>
      <c r="P400" s="7"/>
      <c r="Q400" s="7">
        <v>8</v>
      </c>
      <c r="R400" s="7">
        <v>8</v>
      </c>
      <c r="S400" s="9">
        <f t="shared" si="61"/>
        <v>0</v>
      </c>
      <c r="T400" s="10">
        <f t="shared" si="62"/>
        <v>0</v>
      </c>
      <c r="U400" s="10"/>
    </row>
    <row r="401" spans="1:21">
      <c r="A401" s="6"/>
      <c r="B401" s="11" t="s">
        <v>89</v>
      </c>
      <c r="C401" s="7" t="s">
        <v>26</v>
      </c>
      <c r="D401" s="7"/>
      <c r="E401" s="7"/>
      <c r="F401" s="7">
        <f t="shared" si="65"/>
        <v>642</v>
      </c>
      <c r="G401" s="8">
        <v>24</v>
      </c>
      <c r="H401" s="7">
        <f t="shared" si="64"/>
        <v>0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9">
        <f t="shared" si="61"/>
        <v>666</v>
      </c>
      <c r="T401" s="10">
        <f t="shared" si="62"/>
        <v>0</v>
      </c>
      <c r="U401" s="10"/>
    </row>
    <row r="402" spans="1:21">
      <c r="A402" s="6"/>
      <c r="B402" s="11" t="s">
        <v>90</v>
      </c>
      <c r="C402" s="7" t="s">
        <v>26</v>
      </c>
      <c r="D402" s="7"/>
      <c r="E402" s="7"/>
      <c r="F402" s="7">
        <f t="shared" si="65"/>
        <v>0</v>
      </c>
      <c r="G402" s="8"/>
      <c r="H402" s="7">
        <f t="shared" si="64"/>
        <v>0</v>
      </c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9">
        <f t="shared" si="61"/>
        <v>0</v>
      </c>
      <c r="T402" s="10">
        <f t="shared" si="62"/>
        <v>0</v>
      </c>
      <c r="U402" s="10"/>
    </row>
    <row r="403" spans="1:21">
      <c r="A403" s="6"/>
      <c r="B403" s="11" t="s">
        <v>91</v>
      </c>
      <c r="C403" s="7" t="s">
        <v>26</v>
      </c>
      <c r="D403" s="7"/>
      <c r="E403" s="7"/>
      <c r="F403" s="7">
        <f t="shared" si="65"/>
        <v>138</v>
      </c>
      <c r="G403" s="8"/>
      <c r="H403" s="7">
        <f t="shared" si="64"/>
        <v>0</v>
      </c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9">
        <f t="shared" si="61"/>
        <v>138</v>
      </c>
      <c r="T403" s="10">
        <f t="shared" si="62"/>
        <v>0</v>
      </c>
      <c r="U403" s="10"/>
    </row>
    <row r="404" spans="1:21">
      <c r="A404" s="6"/>
      <c r="B404" s="12" t="s">
        <v>92</v>
      </c>
      <c r="C404" s="13" t="s">
        <v>26</v>
      </c>
      <c r="D404" s="7"/>
      <c r="E404" s="7"/>
      <c r="F404" s="7">
        <f t="shared" si="65"/>
        <v>1212</v>
      </c>
      <c r="G404" s="8"/>
      <c r="H404" s="7">
        <f t="shared" si="64"/>
        <v>0</v>
      </c>
      <c r="I404" s="7"/>
      <c r="J404" s="7">
        <v>144</v>
      </c>
      <c r="K404" s="7"/>
      <c r="L404" s="7"/>
      <c r="M404" s="7"/>
      <c r="N404" s="7"/>
      <c r="O404" s="7"/>
      <c r="P404" s="7"/>
      <c r="Q404" s="7"/>
      <c r="R404" s="7"/>
      <c r="S404" s="9">
        <f t="shared" si="61"/>
        <v>1068</v>
      </c>
      <c r="T404" s="10">
        <f t="shared" si="62"/>
        <v>0</v>
      </c>
      <c r="U404" s="10"/>
    </row>
    <row r="405" spans="1:21">
      <c r="A405" s="6"/>
      <c r="B405" s="12" t="s">
        <v>93</v>
      </c>
      <c r="C405" s="13" t="s">
        <v>26</v>
      </c>
      <c r="D405" s="7"/>
      <c r="E405" s="7"/>
      <c r="F405" s="7">
        <f t="shared" si="65"/>
        <v>3232</v>
      </c>
      <c r="G405" s="8"/>
      <c r="H405" s="7">
        <f t="shared" si="64"/>
        <v>0</v>
      </c>
      <c r="I405" s="7"/>
      <c r="J405" s="7"/>
      <c r="K405" s="7"/>
      <c r="L405" s="7"/>
      <c r="M405" s="7">
        <v>66</v>
      </c>
      <c r="N405" s="7"/>
      <c r="O405" s="7"/>
      <c r="P405" s="7"/>
      <c r="Q405" s="7"/>
      <c r="R405" s="7"/>
      <c r="S405" s="9">
        <f t="shared" si="61"/>
        <v>3298</v>
      </c>
      <c r="T405" s="10">
        <f t="shared" si="62"/>
        <v>0</v>
      </c>
      <c r="U405" s="10"/>
    </row>
    <row r="406" spans="1:21">
      <c r="A406" s="6"/>
      <c r="B406" s="11" t="s">
        <v>94</v>
      </c>
      <c r="C406" s="7" t="s">
        <v>41</v>
      </c>
      <c r="D406" s="7"/>
      <c r="E406" s="7"/>
      <c r="F406" s="7">
        <f t="shared" ref="F406:F426" si="66">S321</f>
        <v>0</v>
      </c>
      <c r="G406" s="8"/>
      <c r="H406" s="7">
        <f t="shared" si="64"/>
        <v>0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9">
        <f t="shared" si="61"/>
        <v>0</v>
      </c>
      <c r="T406" s="10">
        <f t="shared" si="62"/>
        <v>0</v>
      </c>
      <c r="U406" s="10"/>
    </row>
    <row r="407" spans="1:21">
      <c r="A407" s="6"/>
      <c r="B407" s="11" t="s">
        <v>95</v>
      </c>
      <c r="C407" s="7" t="s">
        <v>41</v>
      </c>
      <c r="D407" s="7"/>
      <c r="E407" s="7"/>
      <c r="F407" s="7">
        <f t="shared" si="66"/>
        <v>39</v>
      </c>
      <c r="G407" s="8"/>
      <c r="H407" s="7">
        <f t="shared" si="64"/>
        <v>0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9">
        <f t="shared" si="61"/>
        <v>39</v>
      </c>
      <c r="T407" s="10">
        <f t="shared" si="62"/>
        <v>0</v>
      </c>
      <c r="U407" s="10"/>
    </row>
    <row r="408" spans="1:21">
      <c r="A408" s="6"/>
      <c r="B408" s="11" t="s">
        <v>96</v>
      </c>
      <c r="C408" s="7" t="s">
        <v>41</v>
      </c>
      <c r="D408" s="7"/>
      <c r="E408" s="7"/>
      <c r="F408" s="7">
        <f t="shared" si="66"/>
        <v>0</v>
      </c>
      <c r="G408" s="8"/>
      <c r="H408" s="7">
        <f t="shared" si="64"/>
        <v>0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9">
        <f t="shared" si="61"/>
        <v>0</v>
      </c>
      <c r="T408" s="10">
        <f t="shared" si="62"/>
        <v>0</v>
      </c>
      <c r="U408" s="10"/>
    </row>
    <row r="409" spans="1:21">
      <c r="A409" s="6"/>
      <c r="B409" s="11" t="s">
        <v>97</v>
      </c>
      <c r="C409" s="7" t="s">
        <v>41</v>
      </c>
      <c r="D409" s="7"/>
      <c r="E409" s="7"/>
      <c r="F409" s="7">
        <f t="shared" si="66"/>
        <v>54</v>
      </c>
      <c r="G409" s="8"/>
      <c r="H409" s="7">
        <f t="shared" si="64"/>
        <v>0</v>
      </c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9">
        <f t="shared" si="61"/>
        <v>54</v>
      </c>
      <c r="T409" s="10">
        <f t="shared" si="62"/>
        <v>0</v>
      </c>
      <c r="U409" s="10"/>
    </row>
    <row r="410" spans="1:21">
      <c r="A410" s="6"/>
      <c r="B410" s="11" t="s">
        <v>98</v>
      </c>
      <c r="C410" s="7" t="s">
        <v>26</v>
      </c>
      <c r="D410" s="7"/>
      <c r="E410" s="7"/>
      <c r="F410" s="7">
        <f t="shared" si="66"/>
        <v>1184</v>
      </c>
      <c r="G410" s="8"/>
      <c r="H410" s="7">
        <f t="shared" si="64"/>
        <v>0</v>
      </c>
      <c r="I410" s="7"/>
      <c r="J410" s="7">
        <v>72</v>
      </c>
      <c r="K410" s="7"/>
      <c r="L410" s="7"/>
      <c r="M410" s="7"/>
      <c r="N410" s="7"/>
      <c r="O410" s="7"/>
      <c r="P410" s="7"/>
      <c r="Q410" s="7"/>
      <c r="R410" s="7"/>
      <c r="S410" s="9">
        <f t="shared" si="61"/>
        <v>1112</v>
      </c>
      <c r="T410" s="10">
        <f t="shared" si="62"/>
        <v>0</v>
      </c>
      <c r="U410" s="10"/>
    </row>
    <row r="411" spans="1:21">
      <c r="A411" s="6"/>
      <c r="B411" s="11" t="s">
        <v>99</v>
      </c>
      <c r="C411" s="7" t="s">
        <v>26</v>
      </c>
      <c r="D411" s="7"/>
      <c r="E411" s="7"/>
      <c r="F411" s="7">
        <f t="shared" si="66"/>
        <v>1042</v>
      </c>
      <c r="G411" s="8"/>
      <c r="H411" s="7">
        <f t="shared" si="64"/>
        <v>0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9">
        <f t="shared" si="61"/>
        <v>1042</v>
      </c>
      <c r="T411" s="10">
        <f t="shared" si="62"/>
        <v>0</v>
      </c>
      <c r="U411" s="10"/>
    </row>
    <row r="412" spans="1:21">
      <c r="A412" s="6"/>
      <c r="B412" s="11" t="s">
        <v>100</v>
      </c>
      <c r="C412" s="7" t="s">
        <v>26</v>
      </c>
      <c r="D412" s="7"/>
      <c r="E412" s="7"/>
      <c r="F412" s="7">
        <f t="shared" si="66"/>
        <v>456</v>
      </c>
      <c r="G412" s="8"/>
      <c r="H412" s="7">
        <f t="shared" si="64"/>
        <v>0</v>
      </c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9">
        <f t="shared" si="61"/>
        <v>456</v>
      </c>
      <c r="T412" s="10">
        <f t="shared" si="62"/>
        <v>0</v>
      </c>
      <c r="U412" s="10"/>
    </row>
    <row r="413" spans="1:21">
      <c r="A413" s="6"/>
      <c r="B413" s="11" t="s">
        <v>101</v>
      </c>
      <c r="C413" s="7" t="s">
        <v>26</v>
      </c>
      <c r="D413" s="7"/>
      <c r="E413" s="7"/>
      <c r="F413" s="7">
        <f t="shared" si="66"/>
        <v>240</v>
      </c>
      <c r="G413" s="8"/>
      <c r="H413" s="7">
        <f t="shared" si="64"/>
        <v>0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9">
        <f t="shared" si="61"/>
        <v>240</v>
      </c>
      <c r="T413" s="10">
        <f t="shared" si="62"/>
        <v>0</v>
      </c>
      <c r="U413" s="10"/>
    </row>
    <row r="414" spans="1:21">
      <c r="A414" s="6"/>
      <c r="B414" s="11" t="s">
        <v>102</v>
      </c>
      <c r="C414" s="7" t="s">
        <v>26</v>
      </c>
      <c r="D414" s="7"/>
      <c r="E414" s="7"/>
      <c r="F414" s="7">
        <f t="shared" si="66"/>
        <v>1007</v>
      </c>
      <c r="G414" s="8"/>
      <c r="H414" s="7">
        <f t="shared" si="64"/>
        <v>0</v>
      </c>
      <c r="I414" s="7"/>
      <c r="J414" s="7">
        <v>13</v>
      </c>
      <c r="K414" s="7"/>
      <c r="L414" s="7"/>
      <c r="M414" s="7"/>
      <c r="N414" s="7"/>
      <c r="O414" s="7"/>
      <c r="P414" s="7"/>
      <c r="Q414" s="7"/>
      <c r="R414" s="7"/>
      <c r="S414" s="9">
        <f t="shared" si="61"/>
        <v>994</v>
      </c>
      <c r="T414" s="10">
        <f t="shared" si="62"/>
        <v>0</v>
      </c>
      <c r="U414" s="10"/>
    </row>
    <row r="415" spans="1:21">
      <c r="A415" s="6"/>
      <c r="B415" s="11" t="s">
        <v>103</v>
      </c>
      <c r="C415" s="7" t="s">
        <v>26</v>
      </c>
      <c r="D415" s="7"/>
      <c r="E415" s="7"/>
      <c r="F415" s="7">
        <f t="shared" si="66"/>
        <v>257</v>
      </c>
      <c r="G415" s="8"/>
      <c r="H415" s="7">
        <f t="shared" si="64"/>
        <v>0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9">
        <f t="shared" si="61"/>
        <v>257</v>
      </c>
      <c r="T415" s="10">
        <f t="shared" si="62"/>
        <v>0</v>
      </c>
      <c r="U415" s="10"/>
    </row>
    <row r="416" spans="1:21">
      <c r="A416" s="6"/>
      <c r="B416" s="11"/>
      <c r="C416" s="7"/>
      <c r="D416" s="7"/>
      <c r="E416" s="7"/>
      <c r="F416" s="7">
        <f t="shared" si="66"/>
        <v>0</v>
      </c>
      <c r="G416" s="8"/>
      <c r="H416" s="7">
        <f t="shared" si="64"/>
        <v>0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9">
        <f t="shared" si="61"/>
        <v>0</v>
      </c>
      <c r="T416" s="10">
        <f t="shared" si="62"/>
        <v>0</v>
      </c>
      <c r="U416" s="10"/>
    </row>
    <row r="417" spans="1:25">
      <c r="A417" s="6"/>
      <c r="B417" s="11"/>
      <c r="C417" s="7"/>
      <c r="D417" s="7"/>
      <c r="E417" s="7"/>
      <c r="F417" s="7">
        <f t="shared" si="66"/>
        <v>0</v>
      </c>
      <c r="G417" s="8"/>
      <c r="H417" s="7">
        <f t="shared" si="64"/>
        <v>0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9">
        <f t="shared" si="61"/>
        <v>0</v>
      </c>
      <c r="T417" s="10">
        <f t="shared" si="62"/>
        <v>0</v>
      </c>
      <c r="U417" s="10"/>
    </row>
    <row r="418" spans="1:25">
      <c r="A418" s="6"/>
      <c r="B418" s="11"/>
      <c r="C418" s="7"/>
      <c r="D418" s="7"/>
      <c r="E418" s="7"/>
      <c r="F418" s="7">
        <f t="shared" si="66"/>
        <v>0</v>
      </c>
      <c r="G418" s="8"/>
      <c r="H418" s="7">
        <f t="shared" si="64"/>
        <v>0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9">
        <f t="shared" si="61"/>
        <v>0</v>
      </c>
      <c r="T418" s="10">
        <f t="shared" si="62"/>
        <v>0</v>
      </c>
      <c r="U418" s="10"/>
    </row>
    <row r="419" spans="1:25">
      <c r="A419" s="6"/>
      <c r="B419" s="11"/>
      <c r="C419" s="7"/>
      <c r="D419" s="7"/>
      <c r="E419" s="7"/>
      <c r="F419" s="7">
        <f t="shared" si="66"/>
        <v>0</v>
      </c>
      <c r="G419" s="8"/>
      <c r="H419" s="7">
        <f t="shared" si="64"/>
        <v>0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9">
        <f t="shared" si="61"/>
        <v>0</v>
      </c>
      <c r="T419" s="10">
        <f t="shared" si="62"/>
        <v>0</v>
      </c>
      <c r="U419" s="10"/>
    </row>
    <row r="420" spans="1:25">
      <c r="A420" s="6"/>
      <c r="B420" s="11"/>
      <c r="C420" s="7"/>
      <c r="D420" s="7"/>
      <c r="E420" s="7"/>
      <c r="F420" s="7">
        <f t="shared" si="66"/>
        <v>0</v>
      </c>
      <c r="G420" s="8"/>
      <c r="H420" s="7">
        <f t="shared" si="64"/>
        <v>0</v>
      </c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9">
        <f t="shared" si="61"/>
        <v>0</v>
      </c>
      <c r="T420" s="10">
        <f t="shared" si="62"/>
        <v>0</v>
      </c>
      <c r="U420" s="10"/>
    </row>
    <row r="421" spans="1:25">
      <c r="A421" s="6"/>
      <c r="B421" s="11"/>
      <c r="C421" s="7"/>
      <c r="D421" s="7"/>
      <c r="E421" s="7"/>
      <c r="F421" s="7">
        <f t="shared" si="66"/>
        <v>0</v>
      </c>
      <c r="G421" s="8"/>
      <c r="H421" s="7">
        <f t="shared" si="64"/>
        <v>0</v>
      </c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9">
        <f t="shared" si="61"/>
        <v>0</v>
      </c>
      <c r="T421" s="10">
        <f t="shared" si="62"/>
        <v>0</v>
      </c>
      <c r="U421" s="10"/>
    </row>
    <row r="422" spans="1:25">
      <c r="A422" s="6"/>
      <c r="B422" s="11"/>
      <c r="C422" s="7"/>
      <c r="D422" s="7"/>
      <c r="E422" s="7"/>
      <c r="F422" s="7">
        <f t="shared" si="66"/>
        <v>0</v>
      </c>
      <c r="G422" s="8"/>
      <c r="H422" s="7">
        <f t="shared" si="64"/>
        <v>0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9">
        <f t="shared" si="61"/>
        <v>0</v>
      </c>
      <c r="T422" s="10">
        <f t="shared" si="62"/>
        <v>0</v>
      </c>
      <c r="U422" s="10"/>
    </row>
    <row r="423" spans="1:25">
      <c r="A423" s="6"/>
      <c r="B423" s="11"/>
      <c r="C423" s="7"/>
      <c r="D423" s="7"/>
      <c r="E423" s="7"/>
      <c r="F423" s="7">
        <f t="shared" si="66"/>
        <v>0</v>
      </c>
      <c r="G423" s="8"/>
      <c r="H423" s="7">
        <f t="shared" si="64"/>
        <v>0</v>
      </c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9">
        <f t="shared" si="61"/>
        <v>0</v>
      </c>
      <c r="T423" s="10">
        <f t="shared" si="62"/>
        <v>0</v>
      </c>
      <c r="U423" s="10"/>
    </row>
    <row r="424" spans="1:25">
      <c r="A424" s="6"/>
      <c r="B424" s="11"/>
      <c r="C424" s="7"/>
      <c r="D424" s="7"/>
      <c r="E424" s="7"/>
      <c r="F424" s="7">
        <f t="shared" si="66"/>
        <v>0</v>
      </c>
      <c r="G424" s="8"/>
      <c r="H424" s="7">
        <f t="shared" si="64"/>
        <v>0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9">
        <f t="shared" si="61"/>
        <v>0</v>
      </c>
      <c r="T424" s="10">
        <f t="shared" si="62"/>
        <v>0</v>
      </c>
      <c r="U424" s="10"/>
    </row>
    <row r="425" spans="1:25">
      <c r="A425" s="6"/>
      <c r="B425" s="11"/>
      <c r="C425" s="7"/>
      <c r="D425" s="7"/>
      <c r="E425" s="7"/>
      <c r="F425" s="7">
        <f t="shared" si="66"/>
        <v>0</v>
      </c>
      <c r="G425" s="8"/>
      <c r="H425" s="7">
        <f t="shared" si="64"/>
        <v>0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9">
        <f t="shared" si="61"/>
        <v>0</v>
      </c>
      <c r="T425" s="10">
        <f t="shared" si="62"/>
        <v>0</v>
      </c>
      <c r="U425" s="10"/>
    </row>
    <row r="426" spans="1:25">
      <c r="A426" s="6"/>
      <c r="B426" s="11"/>
      <c r="C426" s="7"/>
      <c r="D426" s="7"/>
      <c r="E426" s="7"/>
      <c r="F426" s="7">
        <f t="shared" si="66"/>
        <v>0</v>
      </c>
      <c r="G426" s="8"/>
      <c r="H426" s="7">
        <f t="shared" si="64"/>
        <v>0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9">
        <f t="shared" si="61"/>
        <v>0</v>
      </c>
      <c r="T426" s="10">
        <f t="shared" si="62"/>
        <v>0</v>
      </c>
      <c r="U426" s="10"/>
      <c r="V426">
        <f>X426*0.1</f>
        <v>0</v>
      </c>
      <c r="W426">
        <f t="shared" ref="W426:W433" si="67">E426*S426*1.5</f>
        <v>0</v>
      </c>
      <c r="X426">
        <f>J426+K426</f>
        <v>0</v>
      </c>
      <c r="Y426">
        <f>X426*0.13</f>
        <v>0</v>
      </c>
    </row>
    <row r="427" spans="1:25">
      <c r="A427" s="6">
        <v>46148</v>
      </c>
      <c r="B427" t="s">
        <v>25</v>
      </c>
      <c r="C427" s="7" t="s">
        <v>26</v>
      </c>
      <c r="D427" s="7"/>
      <c r="E427" s="7"/>
      <c r="F427" s="7">
        <f t="shared" ref="F426:F438" si="68">S342</f>
        <v>1659</v>
      </c>
      <c r="G427" s="8"/>
      <c r="H427" s="7">
        <f t="shared" si="64"/>
        <v>0</v>
      </c>
      <c r="I427" s="7"/>
      <c r="J427" s="7">
        <v>120</v>
      </c>
      <c r="K427" s="7"/>
      <c r="L427" s="7"/>
      <c r="M427" s="7">
        <v>1</v>
      </c>
      <c r="N427" s="7"/>
      <c r="O427" s="7"/>
      <c r="P427" s="7"/>
      <c r="Q427" s="7"/>
      <c r="R427" s="7"/>
      <c r="S427" s="9">
        <f t="shared" si="61"/>
        <v>1540</v>
      </c>
      <c r="T427" s="10">
        <f t="shared" si="62"/>
        <v>0</v>
      </c>
      <c r="U427" s="10"/>
      <c r="V427">
        <f t="shared" ref="V427:V436" si="69">X427*0.1</f>
        <v>12</v>
      </c>
      <c r="W427">
        <f t="shared" si="67"/>
        <v>0</v>
      </c>
      <c r="X427">
        <f t="shared" ref="X427:X436" si="70">J427+K427</f>
        <v>120</v>
      </c>
      <c r="Y427">
        <f t="shared" ref="Y427:Y436" si="71">X427*0.13</f>
        <v>15.6</v>
      </c>
    </row>
    <row r="428" spans="1:25">
      <c r="A428" s="6"/>
      <c r="B428" t="s">
        <v>27</v>
      </c>
      <c r="C428" s="7" t="s">
        <v>26</v>
      </c>
      <c r="D428" s="7"/>
      <c r="E428" s="7"/>
      <c r="F428" s="7">
        <f t="shared" si="68"/>
        <v>492</v>
      </c>
      <c r="G428" s="8"/>
      <c r="H428" s="7">
        <f t="shared" si="64"/>
        <v>0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9">
        <f t="shared" si="61"/>
        <v>492</v>
      </c>
      <c r="T428" s="10">
        <f t="shared" si="62"/>
        <v>0</v>
      </c>
      <c r="U428" s="10"/>
      <c r="V428">
        <f t="shared" si="69"/>
        <v>0</v>
      </c>
      <c r="W428">
        <f t="shared" si="67"/>
        <v>0</v>
      </c>
      <c r="X428">
        <f t="shared" si="70"/>
        <v>0</v>
      </c>
      <c r="Y428">
        <f t="shared" si="71"/>
        <v>0</v>
      </c>
    </row>
    <row r="429" spans="1:25">
      <c r="A429" s="6"/>
      <c r="B429" s="6" t="s">
        <v>28</v>
      </c>
      <c r="C429" s="7" t="s">
        <v>26</v>
      </c>
      <c r="D429" s="7"/>
      <c r="E429" s="7"/>
      <c r="F429" s="7">
        <f t="shared" si="68"/>
        <v>1641</v>
      </c>
      <c r="G429" s="8"/>
      <c r="H429" s="7">
        <f t="shared" si="64"/>
        <v>0</v>
      </c>
      <c r="I429" s="7"/>
      <c r="J429" s="7">
        <v>120</v>
      </c>
      <c r="K429" s="7"/>
      <c r="L429" s="7"/>
      <c r="M429" s="7"/>
      <c r="N429" s="7"/>
      <c r="O429" s="7"/>
      <c r="P429" s="7"/>
      <c r="Q429" s="7"/>
      <c r="R429" s="7"/>
      <c r="S429" s="9">
        <f t="shared" si="61"/>
        <v>1521</v>
      </c>
      <c r="T429" s="10">
        <f t="shared" si="62"/>
        <v>0</v>
      </c>
      <c r="U429" s="10"/>
      <c r="V429">
        <f t="shared" si="69"/>
        <v>12</v>
      </c>
      <c r="W429">
        <f t="shared" si="67"/>
        <v>0</v>
      </c>
      <c r="X429">
        <f t="shared" si="70"/>
        <v>120</v>
      </c>
      <c r="Y429">
        <f t="shared" si="71"/>
        <v>15.6</v>
      </c>
    </row>
    <row r="430" spans="1:25">
      <c r="A430" s="6"/>
      <c r="B430" s="6" t="s">
        <v>29</v>
      </c>
      <c r="C430" s="7" t="s">
        <v>26</v>
      </c>
      <c r="D430" s="7"/>
      <c r="E430" s="7"/>
      <c r="F430" s="7">
        <f t="shared" si="68"/>
        <v>163</v>
      </c>
      <c r="G430" s="8"/>
      <c r="H430" s="7">
        <f t="shared" si="64"/>
        <v>0</v>
      </c>
      <c r="I430" s="7"/>
      <c r="J430" s="7"/>
      <c r="K430" s="7"/>
      <c r="L430" s="7"/>
      <c r="M430" s="7">
        <v>24</v>
      </c>
      <c r="N430" s="7"/>
      <c r="O430" s="7"/>
      <c r="P430" s="7"/>
      <c r="Q430" s="7"/>
      <c r="R430" s="7"/>
      <c r="S430" s="9">
        <f t="shared" si="61"/>
        <v>187</v>
      </c>
      <c r="T430" s="10">
        <f t="shared" si="62"/>
        <v>0</v>
      </c>
      <c r="U430" s="10"/>
      <c r="V430">
        <f t="shared" si="69"/>
        <v>0</v>
      </c>
      <c r="W430">
        <f t="shared" si="67"/>
        <v>0</v>
      </c>
      <c r="X430">
        <f t="shared" si="70"/>
        <v>0</v>
      </c>
      <c r="Y430">
        <f t="shared" si="71"/>
        <v>0</v>
      </c>
    </row>
    <row r="431" spans="1:25">
      <c r="A431" s="6"/>
      <c r="B431" s="6" t="s">
        <v>30</v>
      </c>
      <c r="C431" s="7" t="s">
        <v>26</v>
      </c>
      <c r="D431" s="7"/>
      <c r="E431" s="7"/>
      <c r="F431" s="7">
        <f t="shared" si="68"/>
        <v>193</v>
      </c>
      <c r="G431" s="8"/>
      <c r="H431" s="7">
        <f t="shared" si="64"/>
        <v>0</v>
      </c>
      <c r="I431" s="7"/>
      <c r="J431" s="7">
        <v>180</v>
      </c>
      <c r="K431" s="7"/>
      <c r="L431" s="7"/>
      <c r="M431" s="7">
        <v>1</v>
      </c>
      <c r="N431" s="7"/>
      <c r="O431" s="7"/>
      <c r="P431" s="7"/>
      <c r="Q431" s="7"/>
      <c r="R431" s="7"/>
      <c r="S431" s="9">
        <f t="shared" ref="S431:S436" si="72">F431+G431-J431-K431-L431+M431+O431-P431-R431</f>
        <v>14</v>
      </c>
      <c r="T431" s="10">
        <f t="shared" ref="T431:T436" si="73">H431+I431+N431+R431-Q431</f>
        <v>0</v>
      </c>
      <c r="U431" s="10"/>
      <c r="V431">
        <f t="shared" si="69"/>
        <v>18</v>
      </c>
      <c r="W431">
        <f t="shared" si="67"/>
        <v>0</v>
      </c>
      <c r="X431">
        <f t="shared" si="70"/>
        <v>180</v>
      </c>
      <c r="Y431">
        <f t="shared" si="71"/>
        <v>23.4</v>
      </c>
    </row>
    <row r="432" spans="1:25">
      <c r="A432" s="6"/>
      <c r="B432" s="6" t="s">
        <v>31</v>
      </c>
      <c r="C432" s="7" t="s">
        <v>26</v>
      </c>
      <c r="D432" s="7"/>
      <c r="E432" s="7"/>
      <c r="F432" s="7">
        <f t="shared" si="68"/>
        <v>484</v>
      </c>
      <c r="G432" s="8"/>
      <c r="H432" s="7">
        <f t="shared" si="64"/>
        <v>0</v>
      </c>
      <c r="I432" s="7"/>
      <c r="J432" s="7"/>
      <c r="K432" s="7"/>
      <c r="L432" s="7"/>
      <c r="M432" s="7">
        <v>48</v>
      </c>
      <c r="N432" s="7"/>
      <c r="O432" s="7"/>
      <c r="P432" s="7"/>
      <c r="Q432" s="7"/>
      <c r="R432" s="7"/>
      <c r="S432" s="9">
        <f t="shared" si="72"/>
        <v>532</v>
      </c>
      <c r="T432" s="10">
        <f t="shared" si="73"/>
        <v>0</v>
      </c>
      <c r="U432" s="10"/>
      <c r="V432">
        <f t="shared" si="69"/>
        <v>0</v>
      </c>
      <c r="W432">
        <f t="shared" si="67"/>
        <v>0</v>
      </c>
      <c r="X432">
        <f t="shared" si="70"/>
        <v>0</v>
      </c>
      <c r="Y432">
        <f t="shared" si="71"/>
        <v>0</v>
      </c>
    </row>
    <row r="433" ht="14" customHeight="1" spans="1:25">
      <c r="A433" s="6"/>
      <c r="B433" s="6" t="s">
        <v>32</v>
      </c>
      <c r="C433" s="7" t="s">
        <v>26</v>
      </c>
      <c r="D433" s="7"/>
      <c r="E433" s="7"/>
      <c r="F433" s="7">
        <f t="shared" si="68"/>
        <v>630</v>
      </c>
      <c r="G433" s="8"/>
      <c r="H433" s="7">
        <f t="shared" si="64"/>
        <v>0</v>
      </c>
      <c r="I433" s="7"/>
      <c r="J433" s="7">
        <v>240</v>
      </c>
      <c r="K433" s="7"/>
      <c r="L433" s="7"/>
      <c r="M433" s="7"/>
      <c r="N433" s="7"/>
      <c r="O433" s="7"/>
      <c r="P433" s="7"/>
      <c r="Q433" s="7"/>
      <c r="R433" s="7"/>
      <c r="S433" s="9">
        <f t="shared" si="72"/>
        <v>390</v>
      </c>
      <c r="T433" s="10">
        <f t="shared" si="73"/>
        <v>0</v>
      </c>
      <c r="U433" s="10"/>
      <c r="V433">
        <f t="shared" si="69"/>
        <v>24</v>
      </c>
      <c r="W433">
        <f t="shared" si="67"/>
        <v>0</v>
      </c>
      <c r="X433">
        <f t="shared" si="70"/>
        <v>240</v>
      </c>
      <c r="Y433">
        <f t="shared" si="71"/>
        <v>31.2</v>
      </c>
    </row>
    <row r="434" spans="1:25">
      <c r="A434" s="6"/>
      <c r="B434" s="6" t="s">
        <v>33</v>
      </c>
      <c r="C434" s="7" t="s">
        <v>26</v>
      </c>
      <c r="D434" s="7"/>
      <c r="E434" s="7"/>
      <c r="F434" s="7">
        <f t="shared" si="68"/>
        <v>1144</v>
      </c>
      <c r="G434" s="8"/>
      <c r="H434" s="7">
        <f t="shared" si="64"/>
        <v>0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9">
        <f t="shared" si="72"/>
        <v>1144</v>
      </c>
      <c r="T434" s="10">
        <f t="shared" si="73"/>
        <v>0</v>
      </c>
      <c r="U434" s="10"/>
    </row>
    <row r="435" spans="1:25">
      <c r="A435" s="6"/>
      <c r="B435" s="11" t="s">
        <v>34</v>
      </c>
      <c r="C435" s="7" t="s">
        <v>26</v>
      </c>
      <c r="D435" s="7"/>
      <c r="E435" s="7"/>
      <c r="F435" s="7">
        <f t="shared" si="68"/>
        <v>17</v>
      </c>
      <c r="G435" s="8"/>
      <c r="H435" s="7">
        <f t="shared" si="64"/>
        <v>0</v>
      </c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9">
        <f t="shared" si="72"/>
        <v>17</v>
      </c>
      <c r="T435" s="10">
        <f t="shared" si="73"/>
        <v>0</v>
      </c>
      <c r="U435" s="10"/>
    </row>
    <row r="436" spans="1:25">
      <c r="A436" s="6"/>
      <c r="B436" s="11" t="s">
        <v>35</v>
      </c>
      <c r="C436" s="7" t="s">
        <v>26</v>
      </c>
      <c r="D436" s="7"/>
      <c r="E436" s="7"/>
      <c r="F436" s="7">
        <f t="shared" si="68"/>
        <v>120</v>
      </c>
      <c r="G436" s="8"/>
      <c r="H436" s="7">
        <f t="shared" si="64"/>
        <v>0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9">
        <f t="shared" si="72"/>
        <v>120</v>
      </c>
      <c r="T436" s="10">
        <f t="shared" si="73"/>
        <v>0</v>
      </c>
      <c r="U436" s="10"/>
    </row>
    <row r="437" spans="1:25">
      <c r="A437" s="6"/>
      <c r="B437" s="11" t="s">
        <v>36</v>
      </c>
      <c r="C437" s="7" t="s">
        <v>26</v>
      </c>
      <c r="D437" s="7"/>
      <c r="E437" s="7"/>
      <c r="F437" s="7">
        <f t="shared" si="68"/>
        <v>0</v>
      </c>
      <c r="G437" s="8"/>
      <c r="H437" s="7">
        <f t="shared" si="64"/>
        <v>0</v>
      </c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9">
        <f t="shared" ref="S437:S490" si="74">F437+G437-J437-K437-L437+M437+O437-P437-R437</f>
        <v>0</v>
      </c>
      <c r="T437" s="10">
        <f t="shared" ref="T437:T490" si="75">H437+I437+N437+R437-Q437</f>
        <v>0</v>
      </c>
      <c r="U437" s="10"/>
    </row>
    <row r="438" spans="1:25">
      <c r="A438" s="6"/>
      <c r="B438" s="11" t="s">
        <v>37</v>
      </c>
      <c r="C438" s="7" t="s">
        <v>26</v>
      </c>
      <c r="D438" s="7"/>
      <c r="E438" s="7"/>
      <c r="F438" s="7">
        <f t="shared" si="68"/>
        <v>24</v>
      </c>
      <c r="G438" s="8"/>
      <c r="H438" s="7">
        <f t="shared" si="64"/>
        <v>0</v>
      </c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9">
        <f t="shared" si="74"/>
        <v>24</v>
      </c>
      <c r="T438" s="10">
        <f t="shared" si="75"/>
        <v>0</v>
      </c>
      <c r="U438" s="10"/>
    </row>
    <row r="439" spans="1:25">
      <c r="A439" s="6"/>
      <c r="B439" s="11" t="s">
        <v>38</v>
      </c>
      <c r="C439" s="7" t="s">
        <v>26</v>
      </c>
      <c r="D439" s="7"/>
      <c r="E439" s="7"/>
      <c r="F439" s="7">
        <f t="shared" ref="F439:F450" si="76">S354</f>
        <v>0</v>
      </c>
      <c r="G439" s="8"/>
      <c r="H439" s="7">
        <f t="shared" si="64"/>
        <v>0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9">
        <f t="shared" si="74"/>
        <v>0</v>
      </c>
      <c r="T439" s="10">
        <f t="shared" si="75"/>
        <v>0</v>
      </c>
      <c r="U439" s="14"/>
      <c r="V439" s="15" t="s">
        <v>109</v>
      </c>
    </row>
    <row r="440" spans="1:25">
      <c r="A440" s="6"/>
      <c r="B440" s="11" t="s">
        <v>39</v>
      </c>
      <c r="C440" s="7" t="s">
        <v>26</v>
      </c>
      <c r="D440" s="7"/>
      <c r="E440" s="7"/>
      <c r="F440" s="7">
        <f t="shared" si="76"/>
        <v>292</v>
      </c>
      <c r="G440" s="8"/>
      <c r="H440" s="7">
        <f t="shared" si="64"/>
        <v>0</v>
      </c>
      <c r="I440" s="7"/>
      <c r="J440" s="7"/>
      <c r="K440" s="7"/>
      <c r="L440" s="7"/>
      <c r="M440" s="7"/>
      <c r="N440" s="7"/>
      <c r="O440" s="7"/>
      <c r="P440" s="7">
        <v>292</v>
      </c>
      <c r="Q440" s="7"/>
      <c r="R440" s="7"/>
      <c r="S440" s="9">
        <f t="shared" si="74"/>
        <v>0</v>
      </c>
      <c r="T440" s="10">
        <f t="shared" si="75"/>
        <v>0</v>
      </c>
      <c r="U440" s="10"/>
    </row>
    <row r="441" spans="1:25">
      <c r="A441" s="6"/>
      <c r="B441" s="11" t="s">
        <v>40</v>
      </c>
      <c r="C441" s="7" t="s">
        <v>41</v>
      </c>
      <c r="D441" s="7"/>
      <c r="E441" s="7"/>
      <c r="F441" s="7">
        <f t="shared" si="76"/>
        <v>0</v>
      </c>
      <c r="G441" s="8"/>
      <c r="H441" s="7">
        <f t="shared" si="64"/>
        <v>0</v>
      </c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9">
        <f t="shared" si="74"/>
        <v>0</v>
      </c>
      <c r="T441" s="10">
        <f t="shared" si="75"/>
        <v>0</v>
      </c>
      <c r="U441" s="10"/>
    </row>
    <row r="442" spans="1:25">
      <c r="A442" s="6"/>
      <c r="B442" s="11" t="s">
        <v>42</v>
      </c>
      <c r="C442" s="7" t="s">
        <v>41</v>
      </c>
      <c r="D442" s="7"/>
      <c r="E442" s="7"/>
      <c r="F442" s="7">
        <f t="shared" si="76"/>
        <v>53</v>
      </c>
      <c r="G442" s="8"/>
      <c r="H442" s="7">
        <f t="shared" si="64"/>
        <v>0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9">
        <f t="shared" si="74"/>
        <v>53</v>
      </c>
      <c r="T442" s="10">
        <f t="shared" si="75"/>
        <v>0</v>
      </c>
      <c r="U442" s="10"/>
    </row>
    <row r="443" spans="1:25">
      <c r="A443" s="6"/>
      <c r="B443" s="11" t="s">
        <v>43</v>
      </c>
      <c r="C443" s="7" t="s">
        <v>41</v>
      </c>
      <c r="D443" s="7"/>
      <c r="E443" s="7"/>
      <c r="F443" s="7">
        <f t="shared" si="76"/>
        <v>0</v>
      </c>
      <c r="G443" s="8"/>
      <c r="H443" s="7">
        <f t="shared" si="64"/>
        <v>0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9">
        <f t="shared" si="74"/>
        <v>0</v>
      </c>
      <c r="T443" s="10">
        <f t="shared" si="75"/>
        <v>0</v>
      </c>
      <c r="U443" s="10"/>
    </row>
    <row r="444" spans="1:25">
      <c r="A444" s="6"/>
      <c r="B444" s="11" t="s">
        <v>44</v>
      </c>
      <c r="C444" s="7" t="s">
        <v>41</v>
      </c>
      <c r="D444" s="7"/>
      <c r="E444" s="7"/>
      <c r="F444" s="7">
        <f t="shared" si="76"/>
        <v>75</v>
      </c>
      <c r="G444" s="8"/>
      <c r="H444" s="7">
        <f t="shared" si="64"/>
        <v>0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9">
        <f t="shared" si="74"/>
        <v>75</v>
      </c>
      <c r="T444" s="10">
        <f t="shared" si="75"/>
        <v>0</v>
      </c>
      <c r="U444" s="10"/>
    </row>
    <row r="445" spans="1:25">
      <c r="A445" s="6"/>
      <c r="B445" s="11" t="s">
        <v>45</v>
      </c>
      <c r="C445" s="7" t="s">
        <v>41</v>
      </c>
      <c r="D445" s="7"/>
      <c r="E445" s="7"/>
      <c r="F445" s="7">
        <f t="shared" ref="F445:F470" si="77">S360</f>
        <v>0</v>
      </c>
      <c r="G445" s="8"/>
      <c r="H445" s="7">
        <f t="shared" si="64"/>
        <v>0</v>
      </c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9">
        <f t="shared" si="74"/>
        <v>0</v>
      </c>
      <c r="T445" s="10">
        <f t="shared" si="75"/>
        <v>0</v>
      </c>
      <c r="U445" s="10"/>
    </row>
    <row r="446" spans="1:25">
      <c r="A446" s="6"/>
      <c r="B446" s="11" t="s">
        <v>46</v>
      </c>
      <c r="C446" s="7" t="s">
        <v>41</v>
      </c>
      <c r="D446" s="7"/>
      <c r="E446" s="7"/>
      <c r="F446" s="7">
        <f t="shared" si="77"/>
        <v>17</v>
      </c>
      <c r="G446" s="8"/>
      <c r="H446" s="7">
        <f t="shared" si="64"/>
        <v>0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9">
        <f t="shared" si="74"/>
        <v>17</v>
      </c>
      <c r="T446" s="10">
        <f t="shared" si="75"/>
        <v>0</v>
      </c>
      <c r="U446" s="10"/>
    </row>
    <row r="447" spans="1:25">
      <c r="A447" s="6"/>
      <c r="B447" s="11" t="s">
        <v>47</v>
      </c>
      <c r="C447" s="7" t="s">
        <v>26</v>
      </c>
      <c r="D447" s="7"/>
      <c r="E447" s="7"/>
      <c r="F447" s="7">
        <f t="shared" si="77"/>
        <v>0</v>
      </c>
      <c r="G447" s="8"/>
      <c r="H447" s="7">
        <f t="shared" si="64"/>
        <v>0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9">
        <f t="shared" si="74"/>
        <v>0</v>
      </c>
      <c r="T447" s="10">
        <f t="shared" si="75"/>
        <v>0</v>
      </c>
      <c r="U447" s="10"/>
    </row>
    <row r="448" spans="1:25">
      <c r="A448" s="6"/>
      <c r="B448" s="11" t="s">
        <v>48</v>
      </c>
      <c r="C448" s="7" t="s">
        <v>26</v>
      </c>
      <c r="D448" s="7"/>
      <c r="E448" s="7"/>
      <c r="F448" s="7">
        <f t="shared" si="77"/>
        <v>45532</v>
      </c>
      <c r="G448" s="8"/>
      <c r="H448" s="7">
        <f t="shared" si="64"/>
        <v>0</v>
      </c>
      <c r="I448" s="7"/>
      <c r="J448" s="7">
        <v>1770</v>
      </c>
      <c r="K448" s="7"/>
      <c r="L448" s="7"/>
      <c r="M448" s="7">
        <v>37</v>
      </c>
      <c r="N448" s="7"/>
      <c r="O448" s="7">
        <v>384</v>
      </c>
      <c r="P448" s="7"/>
      <c r="Q448" s="7"/>
      <c r="R448" s="7"/>
      <c r="S448" s="9">
        <f t="shared" si="74"/>
        <v>44183</v>
      </c>
      <c r="T448" s="10">
        <f t="shared" si="75"/>
        <v>0</v>
      </c>
      <c r="U448" s="10" t="s">
        <v>110</v>
      </c>
    </row>
    <row r="449" spans="1:21">
      <c r="A449" s="6"/>
      <c r="B449" s="11" t="s">
        <v>50</v>
      </c>
      <c r="C449" s="7" t="s">
        <v>26</v>
      </c>
      <c r="D449" s="7"/>
      <c r="E449" s="7"/>
      <c r="F449" s="7">
        <f t="shared" si="77"/>
        <v>0</v>
      </c>
      <c r="G449" s="8"/>
      <c r="H449" s="7">
        <f t="shared" si="64"/>
        <v>0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9">
        <f t="shared" si="74"/>
        <v>0</v>
      </c>
      <c r="T449" s="10">
        <f t="shared" si="75"/>
        <v>0</v>
      </c>
      <c r="U449" s="10"/>
    </row>
    <row r="450" spans="1:21">
      <c r="A450" s="6"/>
      <c r="B450" s="11" t="s">
        <v>51</v>
      </c>
      <c r="C450" s="7" t="s">
        <v>26</v>
      </c>
      <c r="D450" s="7"/>
      <c r="E450" s="7"/>
      <c r="F450" s="7">
        <f t="shared" si="77"/>
        <v>0</v>
      </c>
      <c r="G450" s="8"/>
      <c r="H450" s="7">
        <f t="shared" si="64"/>
        <v>0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9">
        <f t="shared" si="74"/>
        <v>0</v>
      </c>
      <c r="T450" s="10">
        <f t="shared" si="75"/>
        <v>0</v>
      </c>
      <c r="U450" s="10"/>
    </row>
    <row r="451" spans="1:21">
      <c r="A451" s="6"/>
      <c r="B451" s="11" t="s">
        <v>52</v>
      </c>
      <c r="C451" s="7" t="s">
        <v>26</v>
      </c>
      <c r="D451" s="7"/>
      <c r="E451" s="7"/>
      <c r="F451" s="7">
        <f t="shared" si="77"/>
        <v>16894</v>
      </c>
      <c r="G451" s="8"/>
      <c r="H451" s="7">
        <f t="shared" si="64"/>
        <v>0</v>
      </c>
      <c r="I451" s="7"/>
      <c r="J451" s="7"/>
      <c r="K451" s="7"/>
      <c r="L451" s="7"/>
      <c r="M451" s="7"/>
      <c r="N451" s="7"/>
      <c r="O451" s="7">
        <v>312</v>
      </c>
      <c r="P451" s="7">
        <v>48</v>
      </c>
      <c r="Q451" s="7"/>
      <c r="R451" s="7"/>
      <c r="S451" s="9">
        <f t="shared" si="74"/>
        <v>17158</v>
      </c>
      <c r="T451" s="10">
        <f t="shared" si="75"/>
        <v>0</v>
      </c>
      <c r="U451" s="10"/>
    </row>
    <row r="452" spans="1:21">
      <c r="A452" s="6"/>
      <c r="B452" s="11" t="s">
        <v>53</v>
      </c>
      <c r="C452" s="7" t="s">
        <v>54</v>
      </c>
      <c r="D452" s="7"/>
      <c r="E452" s="7"/>
      <c r="F452" s="7">
        <f t="shared" si="77"/>
        <v>0</v>
      </c>
      <c r="G452" s="8"/>
      <c r="H452" s="7">
        <f t="shared" ref="H452:H515" si="78">T367</f>
        <v>0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9">
        <f t="shared" si="74"/>
        <v>0</v>
      </c>
      <c r="T452" s="10">
        <f t="shared" si="75"/>
        <v>0</v>
      </c>
      <c r="U452" s="10"/>
    </row>
    <row r="453" spans="1:21">
      <c r="A453" s="6"/>
      <c r="B453" s="11" t="s">
        <v>55</v>
      </c>
      <c r="C453" s="7" t="s">
        <v>54</v>
      </c>
      <c r="D453" s="7"/>
      <c r="E453" s="7"/>
      <c r="F453" s="7">
        <f t="shared" si="77"/>
        <v>15</v>
      </c>
      <c r="G453" s="8"/>
      <c r="H453" s="7">
        <f t="shared" si="78"/>
        <v>0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9">
        <f t="shared" si="74"/>
        <v>15</v>
      </c>
      <c r="T453" s="10">
        <f t="shared" si="75"/>
        <v>0</v>
      </c>
      <c r="U453" s="10"/>
    </row>
    <row r="454" spans="1:21">
      <c r="A454" s="6"/>
      <c r="B454" s="11" t="s">
        <v>56</v>
      </c>
      <c r="C454" s="7" t="s">
        <v>54</v>
      </c>
      <c r="D454" s="7"/>
      <c r="E454" s="7"/>
      <c r="F454" s="7">
        <f t="shared" si="77"/>
        <v>1065</v>
      </c>
      <c r="G454" s="8"/>
      <c r="H454" s="7">
        <f t="shared" si="78"/>
        <v>0</v>
      </c>
      <c r="I454" s="7"/>
      <c r="J454" s="7">
        <v>180</v>
      </c>
      <c r="K454" s="7"/>
      <c r="L454" s="7"/>
      <c r="M454" s="7"/>
      <c r="N454" s="7"/>
      <c r="O454" s="7"/>
      <c r="P454" s="7"/>
      <c r="Q454" s="7"/>
      <c r="R454" s="7"/>
      <c r="S454" s="9">
        <f t="shared" si="74"/>
        <v>885</v>
      </c>
      <c r="T454" s="10">
        <f t="shared" si="75"/>
        <v>0</v>
      </c>
      <c r="U454" s="10"/>
    </row>
    <row r="455" spans="1:21">
      <c r="A455" s="6"/>
      <c r="B455" s="11" t="s">
        <v>57</v>
      </c>
      <c r="C455" s="7" t="s">
        <v>54</v>
      </c>
      <c r="D455" s="7"/>
      <c r="E455" s="7"/>
      <c r="F455" s="7">
        <f t="shared" si="77"/>
        <v>443</v>
      </c>
      <c r="G455" s="8"/>
      <c r="H455" s="7">
        <f t="shared" si="78"/>
        <v>0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9">
        <f t="shared" si="74"/>
        <v>443</v>
      </c>
      <c r="T455" s="10">
        <f t="shared" si="75"/>
        <v>0</v>
      </c>
      <c r="U455" s="10"/>
    </row>
    <row r="456" spans="1:21">
      <c r="A456" s="6"/>
      <c r="B456" s="11" t="s">
        <v>58</v>
      </c>
      <c r="C456" s="7" t="s">
        <v>54</v>
      </c>
      <c r="D456" s="7"/>
      <c r="E456" s="7"/>
      <c r="F456" s="7">
        <f t="shared" si="77"/>
        <v>0</v>
      </c>
      <c r="G456" s="8"/>
      <c r="H456" s="7">
        <f t="shared" si="78"/>
        <v>0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9">
        <f t="shared" si="74"/>
        <v>0</v>
      </c>
      <c r="T456" s="10">
        <f t="shared" si="75"/>
        <v>0</v>
      </c>
      <c r="U456" s="10"/>
    </row>
    <row r="457" spans="1:21">
      <c r="A457" s="6"/>
      <c r="B457" s="11" t="s">
        <v>59</v>
      </c>
      <c r="C457" s="7" t="s">
        <v>54</v>
      </c>
      <c r="D457" s="7"/>
      <c r="E457" s="7"/>
      <c r="F457" s="7">
        <f t="shared" si="77"/>
        <v>19</v>
      </c>
      <c r="G457" s="8"/>
      <c r="H457" s="7">
        <f t="shared" si="78"/>
        <v>0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9">
        <f t="shared" si="74"/>
        <v>19</v>
      </c>
      <c r="T457" s="10">
        <f t="shared" si="75"/>
        <v>0</v>
      </c>
      <c r="U457" s="10"/>
    </row>
    <row r="458" spans="1:21">
      <c r="A458" s="6"/>
      <c r="B458" s="11" t="s">
        <v>60</v>
      </c>
      <c r="C458" s="7" t="s">
        <v>61</v>
      </c>
      <c r="D458" s="7"/>
      <c r="E458" s="7"/>
      <c r="F458" s="7">
        <f t="shared" si="77"/>
        <v>0</v>
      </c>
      <c r="G458" s="8"/>
      <c r="H458" s="7">
        <f t="shared" si="78"/>
        <v>0</v>
      </c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9">
        <f t="shared" si="74"/>
        <v>0</v>
      </c>
      <c r="T458" s="10">
        <f t="shared" si="75"/>
        <v>0</v>
      </c>
      <c r="U458" s="10"/>
    </row>
    <row r="459" spans="1:21">
      <c r="A459" s="6"/>
      <c r="B459" s="11" t="s">
        <v>62</v>
      </c>
      <c r="C459" s="7" t="s">
        <v>61</v>
      </c>
      <c r="D459" s="7"/>
      <c r="E459" s="7"/>
      <c r="F459" s="7">
        <f t="shared" si="77"/>
        <v>11</v>
      </c>
      <c r="G459" s="8"/>
      <c r="H459" s="7">
        <f t="shared" si="78"/>
        <v>0</v>
      </c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9">
        <f t="shared" si="74"/>
        <v>11</v>
      </c>
      <c r="T459" s="10">
        <f t="shared" si="75"/>
        <v>0</v>
      </c>
      <c r="U459" s="10"/>
    </row>
    <row r="460" spans="1:21">
      <c r="A460" s="6"/>
      <c r="B460" s="10" t="s">
        <v>63</v>
      </c>
      <c r="C460" s="10" t="s">
        <v>41</v>
      </c>
      <c r="D460" s="7"/>
      <c r="E460" s="7"/>
      <c r="F460" s="7">
        <f t="shared" si="77"/>
        <v>0</v>
      </c>
      <c r="G460" s="8"/>
      <c r="H460" s="7">
        <f t="shared" si="78"/>
        <v>0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9">
        <f t="shared" si="74"/>
        <v>0</v>
      </c>
      <c r="T460" s="10">
        <f t="shared" si="75"/>
        <v>0</v>
      </c>
      <c r="U460" s="10"/>
    </row>
    <row r="461" spans="1:21">
      <c r="A461" s="6"/>
      <c r="B461" s="10" t="s">
        <v>64</v>
      </c>
      <c r="C461" s="10" t="s">
        <v>41</v>
      </c>
      <c r="D461" s="7"/>
      <c r="E461" s="7"/>
      <c r="F461" s="7">
        <f t="shared" si="77"/>
        <v>5</v>
      </c>
      <c r="G461" s="8"/>
      <c r="H461" s="7">
        <f t="shared" si="78"/>
        <v>0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9">
        <f t="shared" si="74"/>
        <v>5</v>
      </c>
      <c r="T461" s="10">
        <f t="shared" si="75"/>
        <v>0</v>
      </c>
      <c r="U461" s="10"/>
    </row>
    <row r="462" spans="1:21">
      <c r="A462" s="6"/>
      <c r="B462" s="11" t="s">
        <v>65</v>
      </c>
      <c r="C462" s="7" t="s">
        <v>26</v>
      </c>
      <c r="D462" s="7"/>
      <c r="E462" s="7"/>
      <c r="F462" s="7">
        <f t="shared" ref="F462:F480" si="79">S377</f>
        <v>0</v>
      </c>
      <c r="G462" s="8"/>
      <c r="H462" s="7">
        <f t="shared" si="78"/>
        <v>0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9">
        <f t="shared" si="74"/>
        <v>0</v>
      </c>
      <c r="T462" s="10">
        <f t="shared" si="75"/>
        <v>0</v>
      </c>
      <c r="U462" s="10"/>
    </row>
    <row r="463" spans="1:21">
      <c r="A463" s="6"/>
      <c r="B463" s="11" t="s">
        <v>66</v>
      </c>
      <c r="C463" s="7" t="s">
        <v>26</v>
      </c>
      <c r="D463" s="7"/>
      <c r="E463" s="7"/>
      <c r="F463" s="7">
        <f t="shared" si="79"/>
        <v>71</v>
      </c>
      <c r="G463" s="8"/>
      <c r="H463" s="7">
        <f t="shared" si="78"/>
        <v>0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9">
        <f t="shared" si="74"/>
        <v>71</v>
      </c>
      <c r="T463" s="10">
        <f t="shared" si="75"/>
        <v>0</v>
      </c>
      <c r="U463" s="10"/>
    </row>
    <row r="464" spans="1:21">
      <c r="A464" s="6"/>
      <c r="B464" s="11" t="s">
        <v>67</v>
      </c>
      <c r="C464" s="7" t="s">
        <v>26</v>
      </c>
      <c r="D464" s="7"/>
      <c r="E464" s="7"/>
      <c r="F464" s="7">
        <f t="shared" si="79"/>
        <v>0</v>
      </c>
      <c r="G464" s="8"/>
      <c r="H464" s="7">
        <f t="shared" si="78"/>
        <v>0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9">
        <f t="shared" si="74"/>
        <v>0</v>
      </c>
      <c r="T464" s="10">
        <f t="shared" si="75"/>
        <v>0</v>
      </c>
      <c r="U464" s="10"/>
    </row>
    <row r="465" spans="1:21">
      <c r="A465" s="6"/>
      <c r="B465" s="11" t="s">
        <v>68</v>
      </c>
      <c r="C465" s="7" t="s">
        <v>26</v>
      </c>
      <c r="D465" s="7"/>
      <c r="E465" s="7"/>
      <c r="F465" s="7">
        <f t="shared" si="79"/>
        <v>7</v>
      </c>
      <c r="G465" s="8"/>
      <c r="H465" s="7">
        <f t="shared" si="78"/>
        <v>0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9">
        <f t="shared" si="74"/>
        <v>7</v>
      </c>
      <c r="T465" s="10">
        <f t="shared" si="75"/>
        <v>0</v>
      </c>
      <c r="U465" s="10"/>
    </row>
    <row r="466" spans="1:21">
      <c r="A466" s="6"/>
      <c r="B466" s="11" t="s">
        <v>69</v>
      </c>
      <c r="C466" s="7" t="s">
        <v>41</v>
      </c>
      <c r="D466" s="7"/>
      <c r="E466" s="7"/>
      <c r="F466" s="7">
        <f t="shared" si="79"/>
        <v>0</v>
      </c>
      <c r="G466" s="8"/>
      <c r="H466" s="7">
        <f t="shared" si="78"/>
        <v>0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9">
        <f t="shared" si="74"/>
        <v>0</v>
      </c>
      <c r="T466" s="10">
        <f t="shared" si="75"/>
        <v>0</v>
      </c>
      <c r="U466" s="10"/>
    </row>
    <row r="467" spans="1:21">
      <c r="A467" s="6"/>
      <c r="B467" s="11" t="s">
        <v>70</v>
      </c>
      <c r="C467" s="7" t="s">
        <v>41</v>
      </c>
      <c r="D467" s="7"/>
      <c r="E467" s="7"/>
      <c r="F467" s="7">
        <f t="shared" si="79"/>
        <v>13</v>
      </c>
      <c r="G467" s="8"/>
      <c r="H467" s="7">
        <f t="shared" si="78"/>
        <v>0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9">
        <f t="shared" si="74"/>
        <v>13</v>
      </c>
      <c r="T467" s="10">
        <f t="shared" si="75"/>
        <v>0</v>
      </c>
      <c r="U467" s="10"/>
    </row>
    <row r="468" spans="1:21">
      <c r="A468" s="6"/>
      <c r="B468" s="11" t="s">
        <v>71</v>
      </c>
      <c r="C468" s="7" t="s">
        <v>61</v>
      </c>
      <c r="D468" s="7"/>
      <c r="E468" s="7"/>
      <c r="F468" s="7">
        <f t="shared" si="79"/>
        <v>0</v>
      </c>
      <c r="G468" s="8"/>
      <c r="H468" s="7">
        <f t="shared" si="78"/>
        <v>0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9">
        <f t="shared" si="74"/>
        <v>0</v>
      </c>
      <c r="T468" s="10">
        <f t="shared" si="75"/>
        <v>0</v>
      </c>
      <c r="U468" s="10"/>
    </row>
    <row r="469" spans="1:21">
      <c r="A469" s="6"/>
      <c r="B469" s="11" t="s">
        <v>72</v>
      </c>
      <c r="C469" s="7" t="s">
        <v>61</v>
      </c>
      <c r="D469" s="7"/>
      <c r="E469" s="7"/>
      <c r="F469" s="7">
        <f t="shared" si="79"/>
        <v>8</v>
      </c>
      <c r="G469" s="8"/>
      <c r="H469" s="7">
        <f t="shared" si="78"/>
        <v>0</v>
      </c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9">
        <f t="shared" si="74"/>
        <v>8</v>
      </c>
      <c r="T469" s="10">
        <f t="shared" si="75"/>
        <v>0</v>
      </c>
      <c r="U469" s="10"/>
    </row>
    <row r="470" spans="1:21">
      <c r="A470" s="6"/>
      <c r="B470" s="11" t="s">
        <v>73</v>
      </c>
      <c r="C470" s="7" t="s">
        <v>26</v>
      </c>
      <c r="D470" s="7"/>
      <c r="E470" s="7"/>
      <c r="F470" s="7">
        <f t="shared" si="79"/>
        <v>0</v>
      </c>
      <c r="G470" s="8"/>
      <c r="H470" s="7">
        <f t="shared" si="78"/>
        <v>0</v>
      </c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9">
        <f t="shared" si="74"/>
        <v>0</v>
      </c>
      <c r="T470" s="10">
        <f t="shared" si="75"/>
        <v>0</v>
      </c>
      <c r="U470" s="10"/>
    </row>
    <row r="471" spans="1:21">
      <c r="A471" s="6"/>
      <c r="B471" s="11" t="s">
        <v>74</v>
      </c>
      <c r="C471" s="7" t="s">
        <v>26</v>
      </c>
      <c r="D471" s="7"/>
      <c r="E471" s="7"/>
      <c r="F471" s="7">
        <f t="shared" si="79"/>
        <v>0</v>
      </c>
      <c r="G471" s="8"/>
      <c r="H471" s="7">
        <f t="shared" si="78"/>
        <v>0</v>
      </c>
      <c r="I471" s="7"/>
      <c r="J471" s="7"/>
      <c r="K471" s="7"/>
      <c r="L471" s="7"/>
      <c r="M471" s="7">
        <v>21</v>
      </c>
      <c r="N471" s="7"/>
      <c r="O471" s="7">
        <v>203</v>
      </c>
      <c r="P471" s="7"/>
      <c r="Q471" s="7"/>
      <c r="R471" s="7"/>
      <c r="S471" s="9">
        <f t="shared" si="74"/>
        <v>224</v>
      </c>
      <c r="T471" s="10">
        <f t="shared" si="75"/>
        <v>0</v>
      </c>
      <c r="U471" s="10"/>
    </row>
    <row r="472" spans="1:21">
      <c r="A472" s="6"/>
      <c r="B472" s="11" t="s">
        <v>75</v>
      </c>
      <c r="C472" s="7" t="s">
        <v>26</v>
      </c>
      <c r="D472" s="7"/>
      <c r="E472" s="7"/>
      <c r="F472" s="7">
        <f t="shared" si="79"/>
        <v>0</v>
      </c>
      <c r="G472" s="8"/>
      <c r="H472" s="7">
        <f t="shared" si="78"/>
        <v>0</v>
      </c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9">
        <f t="shared" si="74"/>
        <v>0</v>
      </c>
      <c r="T472" s="10">
        <f t="shared" si="75"/>
        <v>0</v>
      </c>
      <c r="U472" s="10"/>
    </row>
    <row r="473" spans="1:21">
      <c r="A473" s="6"/>
      <c r="B473" s="11" t="s">
        <v>76</v>
      </c>
      <c r="C473" s="7" t="s">
        <v>26</v>
      </c>
      <c r="D473" s="7"/>
      <c r="E473" s="7"/>
      <c r="F473" s="7">
        <f t="shared" si="79"/>
        <v>0</v>
      </c>
      <c r="G473" s="8"/>
      <c r="H473" s="7">
        <f t="shared" si="78"/>
        <v>0</v>
      </c>
      <c r="I473" s="7"/>
      <c r="J473" s="7"/>
      <c r="K473" s="7"/>
      <c r="L473" s="7"/>
      <c r="M473" s="7"/>
      <c r="N473" s="7"/>
      <c r="O473" s="7">
        <v>16</v>
      </c>
      <c r="P473" s="7"/>
      <c r="Q473" s="7"/>
      <c r="R473" s="7"/>
      <c r="S473" s="9">
        <f t="shared" si="74"/>
        <v>16</v>
      </c>
      <c r="T473" s="10">
        <f t="shared" si="75"/>
        <v>0</v>
      </c>
      <c r="U473" s="10"/>
    </row>
    <row r="474" spans="1:21">
      <c r="A474" s="6"/>
      <c r="B474" s="11" t="s">
        <v>77</v>
      </c>
      <c r="C474" s="7" t="s">
        <v>61</v>
      </c>
      <c r="D474" s="7"/>
      <c r="E474" s="7"/>
      <c r="F474" s="7">
        <f t="shared" si="79"/>
        <v>0</v>
      </c>
      <c r="G474" s="8"/>
      <c r="H474" s="7">
        <f t="shared" si="78"/>
        <v>0</v>
      </c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9">
        <f t="shared" si="74"/>
        <v>0</v>
      </c>
      <c r="T474" s="10">
        <f t="shared" si="75"/>
        <v>0</v>
      </c>
      <c r="U474" s="10"/>
    </row>
    <row r="475" spans="1:21">
      <c r="A475" s="6"/>
      <c r="B475" s="11" t="s">
        <v>78</v>
      </c>
      <c r="C475" s="7" t="s">
        <v>61</v>
      </c>
      <c r="D475" s="7"/>
      <c r="E475" s="7"/>
      <c r="F475" s="7">
        <f t="shared" si="79"/>
        <v>69</v>
      </c>
      <c r="G475" s="8"/>
      <c r="H475" s="7">
        <f t="shared" si="78"/>
        <v>0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9">
        <f t="shared" si="74"/>
        <v>69</v>
      </c>
      <c r="T475" s="10">
        <f t="shared" si="75"/>
        <v>0</v>
      </c>
      <c r="U475" s="10"/>
    </row>
    <row r="476" spans="1:21">
      <c r="A476" s="6"/>
      <c r="B476" s="11" t="s">
        <v>105</v>
      </c>
      <c r="C476" s="7" t="s">
        <v>26</v>
      </c>
      <c r="D476" s="7"/>
      <c r="E476" s="7"/>
      <c r="F476" s="7">
        <f t="shared" si="79"/>
        <v>674</v>
      </c>
      <c r="G476" s="8"/>
      <c r="H476" s="7">
        <f t="shared" si="78"/>
        <v>0</v>
      </c>
      <c r="I476" s="7"/>
      <c r="J476" s="7">
        <v>240</v>
      </c>
      <c r="K476" s="7">
        <v>20</v>
      </c>
      <c r="L476" s="7"/>
      <c r="M476" s="7"/>
      <c r="N476" s="7"/>
      <c r="O476" s="7"/>
      <c r="P476" s="7"/>
      <c r="Q476" s="7"/>
      <c r="R476" s="7"/>
      <c r="S476" s="9">
        <f t="shared" si="74"/>
        <v>414</v>
      </c>
      <c r="T476" s="10">
        <f t="shared" si="75"/>
        <v>0</v>
      </c>
      <c r="U476" s="10"/>
    </row>
    <row r="477" spans="1:21">
      <c r="A477" s="6"/>
      <c r="B477" s="11" t="s">
        <v>80</v>
      </c>
      <c r="C477" s="7" t="s">
        <v>26</v>
      </c>
      <c r="D477" s="7"/>
      <c r="E477" s="7"/>
      <c r="F477" s="7">
        <f t="shared" si="79"/>
        <v>448</v>
      </c>
      <c r="G477" s="8"/>
      <c r="H477" s="7">
        <f t="shared" si="78"/>
        <v>0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9">
        <f t="shared" si="74"/>
        <v>448</v>
      </c>
      <c r="T477" s="10">
        <f t="shared" si="75"/>
        <v>0</v>
      </c>
      <c r="U477" s="10"/>
    </row>
    <row r="478" spans="1:21">
      <c r="A478" s="6"/>
      <c r="B478" s="11" t="s">
        <v>81</v>
      </c>
      <c r="C478" s="7" t="s">
        <v>26</v>
      </c>
      <c r="D478" s="7"/>
      <c r="E478" s="7"/>
      <c r="F478" s="7">
        <f t="shared" ref="F478:F491" si="80">S393</f>
        <v>0</v>
      </c>
      <c r="G478" s="8"/>
      <c r="H478" s="7">
        <f t="shared" si="78"/>
        <v>0</v>
      </c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9">
        <f t="shared" si="74"/>
        <v>0</v>
      </c>
      <c r="T478" s="10">
        <f t="shared" si="75"/>
        <v>0</v>
      </c>
      <c r="U478" s="10"/>
    </row>
    <row r="479" spans="1:21">
      <c r="A479" s="6"/>
      <c r="B479" s="11" t="s">
        <v>82</v>
      </c>
      <c r="C479" s="7" t="s">
        <v>26</v>
      </c>
      <c r="D479" s="7"/>
      <c r="E479" s="7"/>
      <c r="F479" s="7">
        <f t="shared" si="80"/>
        <v>14</v>
      </c>
      <c r="G479" s="8"/>
      <c r="H479" s="7">
        <f t="shared" si="78"/>
        <v>0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9">
        <f t="shared" si="74"/>
        <v>14</v>
      </c>
      <c r="T479" s="10">
        <f t="shared" si="75"/>
        <v>0</v>
      </c>
      <c r="U479" s="10"/>
    </row>
    <row r="480" spans="1:21">
      <c r="A480" s="6"/>
      <c r="B480" s="11" t="s">
        <v>83</v>
      </c>
      <c r="C480" s="7" t="s">
        <v>26</v>
      </c>
      <c r="D480" s="7"/>
      <c r="E480" s="7"/>
      <c r="F480" s="7">
        <f t="shared" si="80"/>
        <v>0</v>
      </c>
      <c r="G480" s="8"/>
      <c r="H480" s="7">
        <f t="shared" si="78"/>
        <v>0</v>
      </c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9">
        <f t="shared" si="74"/>
        <v>0</v>
      </c>
      <c r="T480" s="10">
        <f t="shared" si="75"/>
        <v>0</v>
      </c>
      <c r="U480" s="10"/>
    </row>
    <row r="481" spans="1:21">
      <c r="A481" s="6"/>
      <c r="B481" s="11" t="s">
        <v>84</v>
      </c>
      <c r="C481" s="7" t="s">
        <v>26</v>
      </c>
      <c r="D481" s="7"/>
      <c r="E481" s="7"/>
      <c r="F481" s="7">
        <f t="shared" si="80"/>
        <v>28</v>
      </c>
      <c r="G481" s="8"/>
      <c r="H481" s="7">
        <f t="shared" si="78"/>
        <v>0</v>
      </c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9">
        <f t="shared" si="74"/>
        <v>28</v>
      </c>
      <c r="T481" s="10">
        <f t="shared" si="75"/>
        <v>0</v>
      </c>
      <c r="U481" s="10"/>
    </row>
    <row r="482" spans="1:21">
      <c r="A482" s="6"/>
      <c r="B482" s="11" t="s">
        <v>85</v>
      </c>
      <c r="C482" s="7" t="s">
        <v>61</v>
      </c>
      <c r="D482" s="7"/>
      <c r="E482" s="7"/>
      <c r="F482" s="7">
        <f t="shared" si="80"/>
        <v>0</v>
      </c>
      <c r="G482" s="8"/>
      <c r="H482" s="7">
        <f t="shared" si="78"/>
        <v>0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9">
        <f t="shared" si="74"/>
        <v>0</v>
      </c>
      <c r="T482" s="10">
        <f t="shared" si="75"/>
        <v>0</v>
      </c>
      <c r="U482" s="10"/>
    </row>
    <row r="483" spans="1:21">
      <c r="A483" s="6"/>
      <c r="B483" s="11" t="s">
        <v>86</v>
      </c>
      <c r="C483" s="7" t="s">
        <v>61</v>
      </c>
      <c r="D483" s="7"/>
      <c r="E483" s="7"/>
      <c r="F483" s="7">
        <f t="shared" si="80"/>
        <v>10</v>
      </c>
      <c r="G483" s="8"/>
      <c r="H483" s="7">
        <f t="shared" si="78"/>
        <v>0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9">
        <f t="shared" si="74"/>
        <v>10</v>
      </c>
      <c r="T483" s="10">
        <f t="shared" si="75"/>
        <v>0</v>
      </c>
      <c r="U483" s="10"/>
    </row>
    <row r="484" spans="1:21">
      <c r="A484" s="6"/>
      <c r="B484" s="11" t="s">
        <v>87</v>
      </c>
      <c r="C484" s="7" t="s">
        <v>26</v>
      </c>
      <c r="D484" s="7"/>
      <c r="E484" s="7"/>
      <c r="F484" s="7">
        <f t="shared" si="80"/>
        <v>0</v>
      </c>
      <c r="G484" s="8"/>
      <c r="H484" s="7">
        <f t="shared" si="78"/>
        <v>0</v>
      </c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9">
        <f t="shared" si="74"/>
        <v>0</v>
      </c>
      <c r="T484" s="10">
        <f t="shared" si="75"/>
        <v>0</v>
      </c>
      <c r="U484" s="10"/>
    </row>
    <row r="485" spans="1:21">
      <c r="A485" s="6"/>
      <c r="B485" s="11" t="s">
        <v>88</v>
      </c>
      <c r="C485" s="10"/>
      <c r="D485" s="7"/>
      <c r="E485" s="7"/>
      <c r="F485" s="7">
        <f t="shared" si="80"/>
        <v>0</v>
      </c>
      <c r="G485" s="8"/>
      <c r="H485" s="7">
        <f t="shared" si="78"/>
        <v>0</v>
      </c>
      <c r="I485" s="7"/>
      <c r="J485" s="7"/>
      <c r="K485" s="7"/>
      <c r="L485" s="7"/>
      <c r="M485" s="7"/>
      <c r="N485" s="7"/>
      <c r="O485" s="7">
        <v>73</v>
      </c>
      <c r="P485" s="7"/>
      <c r="Q485" s="7"/>
      <c r="R485" s="7"/>
      <c r="S485" s="9">
        <f t="shared" si="74"/>
        <v>73</v>
      </c>
      <c r="T485" s="10">
        <f t="shared" si="75"/>
        <v>0</v>
      </c>
      <c r="U485" s="10"/>
    </row>
    <row r="486" spans="1:21">
      <c r="A486" s="6"/>
      <c r="B486" s="11" t="s">
        <v>89</v>
      </c>
      <c r="C486" s="7" t="s">
        <v>26</v>
      </c>
      <c r="D486" s="7"/>
      <c r="E486" s="7"/>
      <c r="F486" s="7">
        <f t="shared" si="80"/>
        <v>666</v>
      </c>
      <c r="G486" s="8"/>
      <c r="H486" s="7">
        <f t="shared" si="78"/>
        <v>0</v>
      </c>
      <c r="I486" s="7"/>
      <c r="J486" s="7"/>
      <c r="K486" s="7"/>
      <c r="L486" s="7"/>
      <c r="M486" s="7"/>
      <c r="N486" s="7"/>
      <c r="O486" s="7">
        <v>192</v>
      </c>
      <c r="P486" s="7"/>
      <c r="Q486" s="7"/>
      <c r="R486" s="7"/>
      <c r="S486" s="9">
        <f t="shared" si="74"/>
        <v>858</v>
      </c>
      <c r="T486" s="10">
        <f t="shared" si="75"/>
        <v>0</v>
      </c>
      <c r="U486" s="10"/>
    </row>
    <row r="487" spans="1:21">
      <c r="A487" s="6"/>
      <c r="B487" s="11" t="s">
        <v>90</v>
      </c>
      <c r="C487" s="7" t="s">
        <v>26</v>
      </c>
      <c r="D487" s="7"/>
      <c r="E487" s="7"/>
      <c r="F487" s="7">
        <f t="shared" si="80"/>
        <v>0</v>
      </c>
      <c r="G487" s="8"/>
      <c r="H487" s="7">
        <f t="shared" si="78"/>
        <v>0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9">
        <f t="shared" si="74"/>
        <v>0</v>
      </c>
      <c r="T487" s="10">
        <f t="shared" si="75"/>
        <v>0</v>
      </c>
      <c r="U487" s="10"/>
    </row>
    <row r="488" spans="1:21">
      <c r="A488" s="6"/>
      <c r="B488" s="11" t="s">
        <v>91</v>
      </c>
      <c r="C488" s="7" t="s">
        <v>26</v>
      </c>
      <c r="D488" s="7"/>
      <c r="E488" s="7"/>
      <c r="F488" s="7">
        <f t="shared" si="80"/>
        <v>138</v>
      </c>
      <c r="G488" s="8"/>
      <c r="H488" s="7">
        <f t="shared" si="78"/>
        <v>0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9">
        <f t="shared" si="74"/>
        <v>138</v>
      </c>
      <c r="T488" s="10">
        <f t="shared" si="75"/>
        <v>0</v>
      </c>
      <c r="U488" s="10"/>
    </row>
    <row r="489" spans="1:21">
      <c r="A489" s="6"/>
      <c r="B489" s="12" t="s">
        <v>92</v>
      </c>
      <c r="C489" s="13" t="s">
        <v>26</v>
      </c>
      <c r="D489" s="7"/>
      <c r="E489" s="7"/>
      <c r="F489" s="7">
        <f t="shared" si="80"/>
        <v>1068</v>
      </c>
      <c r="G489" s="8"/>
      <c r="H489" s="7">
        <f t="shared" si="78"/>
        <v>0</v>
      </c>
      <c r="I489" s="7"/>
      <c r="J489" s="7">
        <v>288</v>
      </c>
      <c r="K489" s="7">
        <v>72</v>
      </c>
      <c r="L489" s="7"/>
      <c r="M489" s="7"/>
      <c r="N489" s="7"/>
      <c r="O489" s="7"/>
      <c r="P489" s="7"/>
      <c r="Q489" s="7"/>
      <c r="R489" s="7"/>
      <c r="S489" s="9">
        <f t="shared" si="74"/>
        <v>708</v>
      </c>
      <c r="T489" s="10">
        <f t="shared" si="75"/>
        <v>0</v>
      </c>
      <c r="U489" s="10"/>
    </row>
    <row r="490" spans="1:21">
      <c r="A490" s="6"/>
      <c r="B490" s="12" t="s">
        <v>93</v>
      </c>
      <c r="C490" s="13" t="s">
        <v>26</v>
      </c>
      <c r="D490" s="7"/>
      <c r="E490" s="7"/>
      <c r="F490" s="7">
        <f t="shared" si="80"/>
        <v>3298</v>
      </c>
      <c r="G490" s="8"/>
      <c r="H490" s="7">
        <f t="shared" si="78"/>
        <v>0</v>
      </c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9">
        <f t="shared" si="74"/>
        <v>3298</v>
      </c>
      <c r="T490" s="10">
        <f t="shared" si="75"/>
        <v>0</v>
      </c>
      <c r="U490" s="10"/>
    </row>
    <row r="491" spans="1:21">
      <c r="A491" s="6"/>
      <c r="B491" s="11" t="s">
        <v>94</v>
      </c>
      <c r="C491" s="7" t="s">
        <v>41</v>
      </c>
      <c r="D491" s="7"/>
      <c r="E491" s="7"/>
      <c r="F491" s="7">
        <f t="shared" ref="F491:F511" si="81">S406</f>
        <v>0</v>
      </c>
      <c r="G491" s="8"/>
      <c r="H491" s="7">
        <f t="shared" si="78"/>
        <v>0</v>
      </c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9">
        <f t="shared" ref="S491:S550" si="82">F491+G491-J491-K491-L491+M491+O491-P491-R491</f>
        <v>0</v>
      </c>
      <c r="T491" s="10">
        <f t="shared" ref="T491:T550" si="83">H491+I491+N491+R491-Q491</f>
        <v>0</v>
      </c>
      <c r="U491" s="10"/>
    </row>
    <row r="492" spans="1:21">
      <c r="A492" s="6"/>
      <c r="B492" s="11" t="s">
        <v>95</v>
      </c>
      <c r="C492" s="7" t="s">
        <v>41</v>
      </c>
      <c r="D492" s="7"/>
      <c r="E492" s="7"/>
      <c r="F492" s="7">
        <f t="shared" si="81"/>
        <v>39</v>
      </c>
      <c r="G492" s="8"/>
      <c r="H492" s="7">
        <f t="shared" si="78"/>
        <v>0</v>
      </c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9">
        <f t="shared" si="82"/>
        <v>39</v>
      </c>
      <c r="T492" s="10">
        <f t="shared" si="83"/>
        <v>0</v>
      </c>
      <c r="U492" s="10"/>
    </row>
    <row r="493" spans="1:21">
      <c r="A493" s="6"/>
      <c r="B493" s="11" t="s">
        <v>96</v>
      </c>
      <c r="C493" s="7" t="s">
        <v>41</v>
      </c>
      <c r="D493" s="7"/>
      <c r="E493" s="7"/>
      <c r="F493" s="7">
        <f t="shared" si="81"/>
        <v>0</v>
      </c>
      <c r="G493" s="8"/>
      <c r="H493" s="7">
        <f t="shared" si="78"/>
        <v>0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9">
        <f t="shared" si="82"/>
        <v>0</v>
      </c>
      <c r="T493" s="10">
        <f t="shared" si="83"/>
        <v>0</v>
      </c>
      <c r="U493" s="10"/>
    </row>
    <row r="494" spans="1:21">
      <c r="A494" s="6"/>
      <c r="B494" s="11" t="s">
        <v>97</v>
      </c>
      <c r="C494" s="7" t="s">
        <v>41</v>
      </c>
      <c r="D494" s="7"/>
      <c r="E494" s="7"/>
      <c r="F494" s="7">
        <f t="shared" si="81"/>
        <v>54</v>
      </c>
      <c r="G494" s="8"/>
      <c r="H494" s="7">
        <f t="shared" si="78"/>
        <v>0</v>
      </c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9">
        <f t="shared" si="82"/>
        <v>54</v>
      </c>
      <c r="T494" s="10">
        <f t="shared" si="83"/>
        <v>0</v>
      </c>
      <c r="U494" s="10"/>
    </row>
    <row r="495" spans="1:21">
      <c r="A495" s="6"/>
      <c r="B495" s="11" t="s">
        <v>98</v>
      </c>
      <c r="C495" s="7" t="s">
        <v>26</v>
      </c>
      <c r="D495" s="7"/>
      <c r="E495" s="7"/>
      <c r="F495" s="7">
        <f t="shared" si="81"/>
        <v>1112</v>
      </c>
      <c r="G495" s="8"/>
      <c r="H495" s="7">
        <f t="shared" si="78"/>
        <v>0</v>
      </c>
      <c r="I495" s="7"/>
      <c r="J495" s="7">
        <v>72</v>
      </c>
      <c r="K495" s="7">
        <v>72</v>
      </c>
      <c r="L495" s="7"/>
      <c r="M495" s="7">
        <v>1</v>
      </c>
      <c r="N495" s="7"/>
      <c r="O495" s="7"/>
      <c r="P495" s="7"/>
      <c r="Q495" s="7"/>
      <c r="R495" s="7"/>
      <c r="S495" s="9">
        <f t="shared" si="82"/>
        <v>969</v>
      </c>
      <c r="T495" s="10">
        <f t="shared" si="83"/>
        <v>0</v>
      </c>
      <c r="U495" s="10"/>
    </row>
    <row r="496" spans="1:21">
      <c r="A496" s="6"/>
      <c r="B496" s="11" t="s">
        <v>99</v>
      </c>
      <c r="C496" s="7" t="s">
        <v>26</v>
      </c>
      <c r="D496" s="7"/>
      <c r="E496" s="7"/>
      <c r="F496" s="7">
        <f t="shared" si="81"/>
        <v>1042</v>
      </c>
      <c r="G496" s="8"/>
      <c r="H496" s="7">
        <f t="shared" si="78"/>
        <v>0</v>
      </c>
      <c r="I496" s="7"/>
      <c r="J496" s="7"/>
      <c r="K496" s="7"/>
      <c r="L496" s="7"/>
      <c r="M496" s="7">
        <v>22</v>
      </c>
      <c r="N496" s="7"/>
      <c r="O496" s="7"/>
      <c r="P496" s="7"/>
      <c r="Q496" s="7"/>
      <c r="R496" s="7"/>
      <c r="S496" s="9">
        <f t="shared" si="82"/>
        <v>1064</v>
      </c>
      <c r="T496" s="10">
        <f t="shared" si="83"/>
        <v>0</v>
      </c>
      <c r="U496" s="10"/>
    </row>
    <row r="497" spans="1:25">
      <c r="A497" s="6"/>
      <c r="B497" s="11" t="s">
        <v>100</v>
      </c>
      <c r="C497" s="7" t="s">
        <v>26</v>
      </c>
      <c r="D497" s="7"/>
      <c r="E497" s="7"/>
      <c r="F497" s="7">
        <f t="shared" si="81"/>
        <v>456</v>
      </c>
      <c r="G497" s="8"/>
      <c r="H497" s="7">
        <f t="shared" si="78"/>
        <v>0</v>
      </c>
      <c r="I497" s="7"/>
      <c r="J497" s="7">
        <v>72</v>
      </c>
      <c r="K497" s="7"/>
      <c r="L497" s="7"/>
      <c r="M497" s="7"/>
      <c r="N497" s="7"/>
      <c r="O497" s="7"/>
      <c r="P497" s="7"/>
      <c r="Q497" s="7"/>
      <c r="R497" s="7"/>
      <c r="S497" s="9">
        <f t="shared" si="82"/>
        <v>384</v>
      </c>
      <c r="T497" s="10">
        <f t="shared" si="83"/>
        <v>0</v>
      </c>
      <c r="U497" s="10"/>
    </row>
    <row r="498" spans="1:25">
      <c r="A498" s="6"/>
      <c r="B498" s="11" t="s">
        <v>101</v>
      </c>
      <c r="C498" s="7" t="s">
        <v>26</v>
      </c>
      <c r="D498" s="7"/>
      <c r="E498" s="7"/>
      <c r="F498" s="7">
        <f t="shared" si="81"/>
        <v>240</v>
      </c>
      <c r="G498" s="8"/>
      <c r="H498" s="7">
        <f t="shared" si="78"/>
        <v>0</v>
      </c>
      <c r="I498" s="7"/>
      <c r="J498" s="7"/>
      <c r="K498" s="7"/>
      <c r="L498" s="7"/>
      <c r="M498" s="7">
        <v>21</v>
      </c>
      <c r="N498" s="7"/>
      <c r="O498" s="7"/>
      <c r="P498" s="7"/>
      <c r="Q498" s="7"/>
      <c r="R498" s="7"/>
      <c r="S498" s="9">
        <f t="shared" si="82"/>
        <v>261</v>
      </c>
      <c r="T498" s="10">
        <f t="shared" si="83"/>
        <v>0</v>
      </c>
      <c r="U498" s="10"/>
    </row>
    <row r="499" spans="1:25">
      <c r="A499" s="6"/>
      <c r="B499" s="11" t="s">
        <v>102</v>
      </c>
      <c r="C499" s="7" t="s">
        <v>26</v>
      </c>
      <c r="D499" s="7"/>
      <c r="E499" s="7"/>
      <c r="F499" s="7">
        <f t="shared" si="81"/>
        <v>994</v>
      </c>
      <c r="G499" s="8"/>
      <c r="H499" s="7">
        <f t="shared" si="78"/>
        <v>0</v>
      </c>
      <c r="I499" s="7"/>
      <c r="J499" s="7">
        <v>66</v>
      </c>
      <c r="K499" s="7"/>
      <c r="L499" s="7"/>
      <c r="M499" s="7"/>
      <c r="N499" s="7"/>
      <c r="O499" s="7"/>
      <c r="P499" s="7"/>
      <c r="Q499" s="7"/>
      <c r="R499" s="7"/>
      <c r="S499" s="9">
        <f t="shared" si="82"/>
        <v>928</v>
      </c>
      <c r="T499" s="10">
        <f t="shared" si="83"/>
        <v>0</v>
      </c>
      <c r="U499" s="10"/>
    </row>
    <row r="500" spans="1:25">
      <c r="A500" s="6"/>
      <c r="B500" s="11" t="s">
        <v>103</v>
      </c>
      <c r="C500" s="7" t="s">
        <v>26</v>
      </c>
      <c r="D500" s="7"/>
      <c r="E500" s="7"/>
      <c r="F500" s="7">
        <f t="shared" si="81"/>
        <v>257</v>
      </c>
      <c r="G500" s="8"/>
      <c r="H500" s="7">
        <f t="shared" si="78"/>
        <v>0</v>
      </c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9">
        <f t="shared" si="82"/>
        <v>257</v>
      </c>
      <c r="T500" s="10">
        <f t="shared" si="83"/>
        <v>0</v>
      </c>
      <c r="U500" s="10"/>
    </row>
    <row r="501" spans="1:25">
      <c r="A501" s="6"/>
      <c r="B501" s="11"/>
      <c r="C501" s="7"/>
      <c r="D501" s="7"/>
      <c r="E501" s="7"/>
      <c r="F501" s="7">
        <f t="shared" si="81"/>
        <v>0</v>
      </c>
      <c r="G501" s="8"/>
      <c r="H501" s="7">
        <f t="shared" si="78"/>
        <v>0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9">
        <f t="shared" si="82"/>
        <v>0</v>
      </c>
      <c r="T501" s="10">
        <f t="shared" si="83"/>
        <v>0</v>
      </c>
      <c r="U501" s="10"/>
    </row>
    <row r="502" spans="1:25">
      <c r="A502" s="6"/>
      <c r="B502" s="11"/>
      <c r="C502" s="7"/>
      <c r="D502" s="7"/>
      <c r="E502" s="7"/>
      <c r="F502" s="7">
        <f t="shared" si="81"/>
        <v>0</v>
      </c>
      <c r="G502" s="8"/>
      <c r="H502" s="7">
        <f t="shared" si="78"/>
        <v>0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9">
        <f t="shared" si="82"/>
        <v>0</v>
      </c>
      <c r="T502" s="10">
        <f t="shared" si="83"/>
        <v>0</v>
      </c>
      <c r="U502" s="10"/>
    </row>
    <row r="503" spans="1:25">
      <c r="A503" s="6"/>
      <c r="B503" s="11"/>
      <c r="C503" s="7"/>
      <c r="D503" s="7"/>
      <c r="E503" s="7"/>
      <c r="F503" s="7">
        <f t="shared" si="81"/>
        <v>0</v>
      </c>
      <c r="G503" s="8"/>
      <c r="H503" s="7">
        <f t="shared" si="78"/>
        <v>0</v>
      </c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9">
        <f t="shared" si="82"/>
        <v>0</v>
      </c>
      <c r="T503" s="10">
        <f t="shared" si="83"/>
        <v>0</v>
      </c>
      <c r="U503" s="10"/>
    </row>
    <row r="504" spans="1:25">
      <c r="A504" s="6"/>
      <c r="B504" s="11"/>
      <c r="C504" s="7"/>
      <c r="D504" s="7"/>
      <c r="E504" s="7"/>
      <c r="F504" s="7">
        <f t="shared" si="81"/>
        <v>0</v>
      </c>
      <c r="G504" s="8"/>
      <c r="H504" s="7">
        <f t="shared" si="78"/>
        <v>0</v>
      </c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9">
        <f t="shared" si="82"/>
        <v>0</v>
      </c>
      <c r="T504" s="10">
        <f t="shared" si="83"/>
        <v>0</v>
      </c>
      <c r="U504" s="10"/>
    </row>
    <row r="505" spans="1:25">
      <c r="A505" s="6"/>
      <c r="B505" s="11"/>
      <c r="C505" s="7"/>
      <c r="D505" s="7"/>
      <c r="E505" s="7"/>
      <c r="F505" s="7">
        <f t="shared" si="81"/>
        <v>0</v>
      </c>
      <c r="G505" s="8"/>
      <c r="H505" s="7">
        <f t="shared" si="78"/>
        <v>0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9">
        <f t="shared" si="82"/>
        <v>0</v>
      </c>
      <c r="T505" s="10">
        <f t="shared" si="83"/>
        <v>0</v>
      </c>
      <c r="U505" s="10"/>
    </row>
    <row r="506" spans="1:25">
      <c r="A506" s="6"/>
      <c r="B506" s="11"/>
      <c r="C506" s="7"/>
      <c r="D506" s="7"/>
      <c r="E506" s="7"/>
      <c r="F506" s="7">
        <f t="shared" si="81"/>
        <v>0</v>
      </c>
      <c r="G506" s="8"/>
      <c r="H506" s="7">
        <f t="shared" si="78"/>
        <v>0</v>
      </c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9">
        <f t="shared" si="82"/>
        <v>0</v>
      </c>
      <c r="T506" s="10">
        <f t="shared" si="83"/>
        <v>0</v>
      </c>
      <c r="U506" s="10"/>
    </row>
    <row r="507" spans="1:25">
      <c r="A507" s="6"/>
      <c r="B507" s="11"/>
      <c r="C507" s="7"/>
      <c r="D507" s="7"/>
      <c r="E507" s="7"/>
      <c r="F507" s="7">
        <f t="shared" si="81"/>
        <v>0</v>
      </c>
      <c r="G507" s="8"/>
      <c r="H507" s="7">
        <f t="shared" si="78"/>
        <v>0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9">
        <f t="shared" si="82"/>
        <v>0</v>
      </c>
      <c r="T507" s="10">
        <f t="shared" si="83"/>
        <v>0</v>
      </c>
      <c r="U507" s="10"/>
    </row>
    <row r="508" spans="1:25">
      <c r="A508" s="6"/>
      <c r="B508" s="11"/>
      <c r="C508" s="7"/>
      <c r="D508" s="7"/>
      <c r="E508" s="7"/>
      <c r="F508" s="7">
        <f t="shared" si="81"/>
        <v>0</v>
      </c>
      <c r="G508" s="8"/>
      <c r="H508" s="7">
        <f t="shared" si="78"/>
        <v>0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9">
        <f t="shared" si="82"/>
        <v>0</v>
      </c>
      <c r="T508" s="10">
        <f t="shared" si="83"/>
        <v>0</v>
      </c>
      <c r="U508" s="10"/>
    </row>
    <row r="509" spans="1:25">
      <c r="A509" s="6"/>
      <c r="B509" s="11"/>
      <c r="C509" s="7"/>
      <c r="D509" s="7"/>
      <c r="E509" s="7"/>
      <c r="F509" s="7">
        <f t="shared" si="81"/>
        <v>0</v>
      </c>
      <c r="G509" s="8"/>
      <c r="H509" s="7">
        <f t="shared" si="78"/>
        <v>0</v>
      </c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9">
        <f t="shared" si="82"/>
        <v>0</v>
      </c>
      <c r="T509" s="10">
        <f t="shared" si="83"/>
        <v>0</v>
      </c>
      <c r="U509" s="10"/>
    </row>
    <row r="510" spans="1:25">
      <c r="A510" s="6"/>
      <c r="B510" s="11"/>
      <c r="C510" s="7"/>
      <c r="D510" s="7"/>
      <c r="E510" s="7"/>
      <c r="F510" s="7">
        <f t="shared" si="81"/>
        <v>0</v>
      </c>
      <c r="G510" s="8"/>
      <c r="H510" s="7">
        <f t="shared" si="78"/>
        <v>0</v>
      </c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9">
        <f t="shared" si="82"/>
        <v>0</v>
      </c>
      <c r="T510" s="10">
        <f t="shared" si="83"/>
        <v>0</v>
      </c>
      <c r="U510" s="10"/>
    </row>
    <row r="511" spans="1:25">
      <c r="A511" s="6"/>
      <c r="B511" s="11"/>
      <c r="C511" s="7"/>
      <c r="D511" s="7"/>
      <c r="E511" s="7"/>
      <c r="F511" s="7">
        <f t="shared" si="81"/>
        <v>0</v>
      </c>
      <c r="G511" s="8"/>
      <c r="H511" s="7">
        <f t="shared" si="78"/>
        <v>0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9">
        <f t="shared" si="82"/>
        <v>0</v>
      </c>
      <c r="T511" s="10">
        <f t="shared" si="83"/>
        <v>0</v>
      </c>
      <c r="U511" s="10"/>
      <c r="V511">
        <f>X511*0.1</f>
        <v>0</v>
      </c>
      <c r="W511">
        <f>E511*S511*1.5</f>
        <v>0</v>
      </c>
      <c r="X511">
        <f>J511+K511</f>
        <v>0</v>
      </c>
      <c r="Y511">
        <f>X511*0.13</f>
        <v>0</v>
      </c>
    </row>
    <row r="512" spans="1:25">
      <c r="A512" s="6">
        <v>46149</v>
      </c>
      <c r="B512" t="s">
        <v>25</v>
      </c>
      <c r="C512" s="7" t="s">
        <v>26</v>
      </c>
      <c r="D512" s="7"/>
      <c r="E512" s="7"/>
      <c r="F512" s="7">
        <f t="shared" ref="F511:F523" si="84">S427</f>
        <v>1540</v>
      </c>
      <c r="G512" s="8"/>
      <c r="H512" s="7">
        <f t="shared" si="78"/>
        <v>0</v>
      </c>
      <c r="I512" s="7"/>
      <c r="J512" s="7">
        <v>90</v>
      </c>
      <c r="K512" s="7"/>
      <c r="L512" s="7"/>
      <c r="M512" s="7"/>
      <c r="N512" s="7"/>
      <c r="O512" s="7"/>
      <c r="P512" s="7"/>
      <c r="Q512" s="7"/>
      <c r="R512" s="7"/>
      <c r="S512" s="9">
        <f t="shared" si="82"/>
        <v>1450</v>
      </c>
      <c r="T512" s="10">
        <f t="shared" si="83"/>
        <v>0</v>
      </c>
      <c r="U512" s="10"/>
      <c r="V512">
        <f t="shared" ref="V512:V518" si="85">X512*0.1</f>
        <v>9</v>
      </c>
      <c r="W512">
        <f t="shared" ref="W512:W518" si="86">E512*S512*1.5</f>
        <v>0</v>
      </c>
      <c r="X512">
        <f t="shared" ref="X512:X518" si="87">J512+K512</f>
        <v>90</v>
      </c>
      <c r="Y512">
        <f t="shared" ref="Y512:Y518" si="88">X512*0.13</f>
        <v>11.7</v>
      </c>
    </row>
    <row r="513" spans="1:25">
      <c r="A513" s="6"/>
      <c r="B513" t="s">
        <v>27</v>
      </c>
      <c r="C513" s="7" t="s">
        <v>26</v>
      </c>
      <c r="D513" s="7"/>
      <c r="E513" s="7"/>
      <c r="F513" s="7">
        <f t="shared" si="84"/>
        <v>492</v>
      </c>
      <c r="G513" s="8"/>
      <c r="H513" s="7">
        <f t="shared" si="78"/>
        <v>0</v>
      </c>
      <c r="I513" s="7"/>
      <c r="J513" s="7"/>
      <c r="K513" s="7"/>
      <c r="L513" s="7"/>
      <c r="M513" s="7">
        <v>23</v>
      </c>
      <c r="N513" s="7"/>
      <c r="O513" s="7"/>
      <c r="P513" s="7"/>
      <c r="Q513" s="7"/>
      <c r="R513" s="7"/>
      <c r="S513" s="9">
        <f t="shared" si="82"/>
        <v>515</v>
      </c>
      <c r="T513" s="10">
        <f t="shared" si="83"/>
        <v>0</v>
      </c>
      <c r="U513" s="10"/>
      <c r="V513">
        <f t="shared" si="85"/>
        <v>0</v>
      </c>
      <c r="W513">
        <f t="shared" si="86"/>
        <v>0</v>
      </c>
      <c r="X513">
        <f t="shared" si="87"/>
        <v>0</v>
      </c>
      <c r="Y513">
        <f t="shared" si="88"/>
        <v>0</v>
      </c>
    </row>
    <row r="514" spans="1:25">
      <c r="A514" s="6"/>
      <c r="B514" s="6" t="s">
        <v>28</v>
      </c>
      <c r="C514" s="7" t="s">
        <v>26</v>
      </c>
      <c r="D514" s="7"/>
      <c r="E514" s="7"/>
      <c r="F514" s="7">
        <f t="shared" si="84"/>
        <v>1521</v>
      </c>
      <c r="G514" s="8"/>
      <c r="H514" s="7">
        <f t="shared" si="78"/>
        <v>0</v>
      </c>
      <c r="I514" s="7"/>
      <c r="J514" s="7"/>
      <c r="K514" s="7"/>
      <c r="L514" s="7"/>
      <c r="M514" s="7"/>
      <c r="N514" s="7"/>
      <c r="O514" s="7">
        <v>123</v>
      </c>
      <c r="P514" s="7"/>
      <c r="Q514" s="7"/>
      <c r="R514" s="7"/>
      <c r="S514" s="9">
        <f t="shared" si="82"/>
        <v>1644</v>
      </c>
      <c r="T514" s="10">
        <f t="shared" si="83"/>
        <v>0</v>
      </c>
      <c r="U514" s="10"/>
      <c r="V514">
        <f t="shared" si="85"/>
        <v>0</v>
      </c>
      <c r="W514">
        <f t="shared" si="86"/>
        <v>0</v>
      </c>
      <c r="X514">
        <f t="shared" si="87"/>
        <v>0</v>
      </c>
      <c r="Y514">
        <f t="shared" si="88"/>
        <v>0</v>
      </c>
    </row>
    <row r="515" spans="1:25">
      <c r="A515" s="6"/>
      <c r="B515" s="6" t="s">
        <v>29</v>
      </c>
      <c r="C515" s="7" t="s">
        <v>26</v>
      </c>
      <c r="D515" s="7"/>
      <c r="E515" s="7"/>
      <c r="F515" s="7">
        <f t="shared" si="84"/>
        <v>187</v>
      </c>
      <c r="G515" s="8"/>
      <c r="H515" s="7">
        <f t="shared" si="78"/>
        <v>0</v>
      </c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9">
        <f t="shared" si="82"/>
        <v>187</v>
      </c>
      <c r="T515" s="10">
        <f t="shared" si="83"/>
        <v>0</v>
      </c>
      <c r="U515" s="10"/>
      <c r="V515">
        <f t="shared" si="85"/>
        <v>0</v>
      </c>
      <c r="W515">
        <f t="shared" si="86"/>
        <v>0</v>
      </c>
      <c r="X515">
        <f t="shared" si="87"/>
        <v>0</v>
      </c>
      <c r="Y515">
        <f t="shared" si="88"/>
        <v>0</v>
      </c>
    </row>
    <row r="516" spans="1:25">
      <c r="A516" s="6"/>
      <c r="B516" s="6" t="s">
        <v>30</v>
      </c>
      <c r="C516" s="7" t="s">
        <v>26</v>
      </c>
      <c r="D516" s="7"/>
      <c r="E516" s="7"/>
      <c r="F516" s="7">
        <f t="shared" si="84"/>
        <v>14</v>
      </c>
      <c r="G516" s="8"/>
      <c r="H516" s="7">
        <f t="shared" ref="H516:H521" si="89">T431</f>
        <v>0</v>
      </c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9">
        <f t="shared" si="82"/>
        <v>14</v>
      </c>
      <c r="T516" s="10">
        <f t="shared" si="83"/>
        <v>0</v>
      </c>
      <c r="U516" s="10"/>
      <c r="V516">
        <f t="shared" si="85"/>
        <v>0</v>
      </c>
      <c r="W516">
        <f t="shared" si="86"/>
        <v>0</v>
      </c>
      <c r="X516">
        <f t="shared" si="87"/>
        <v>0</v>
      </c>
      <c r="Y516">
        <f t="shared" si="88"/>
        <v>0</v>
      </c>
    </row>
    <row r="517" spans="1:25">
      <c r="A517" s="6"/>
      <c r="B517" s="6" t="s">
        <v>31</v>
      </c>
      <c r="C517" s="7" t="s">
        <v>26</v>
      </c>
      <c r="D517" s="7"/>
      <c r="E517" s="7"/>
      <c r="F517" s="7">
        <f t="shared" si="84"/>
        <v>532</v>
      </c>
      <c r="G517" s="8"/>
      <c r="H517" s="7">
        <f t="shared" si="89"/>
        <v>0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9">
        <f t="shared" si="82"/>
        <v>532</v>
      </c>
      <c r="T517" s="10">
        <f t="shared" si="83"/>
        <v>0</v>
      </c>
      <c r="U517" s="10"/>
      <c r="V517">
        <f t="shared" si="85"/>
        <v>0</v>
      </c>
      <c r="W517">
        <f t="shared" si="86"/>
        <v>0</v>
      </c>
      <c r="X517">
        <f t="shared" si="87"/>
        <v>0</v>
      </c>
      <c r="Y517">
        <f t="shared" si="88"/>
        <v>0</v>
      </c>
    </row>
    <row r="518" spans="1:25">
      <c r="A518" s="6"/>
      <c r="B518" s="6" t="s">
        <v>32</v>
      </c>
      <c r="C518" s="7" t="s">
        <v>26</v>
      </c>
      <c r="D518" s="7"/>
      <c r="E518" s="7"/>
      <c r="F518" s="7">
        <f t="shared" si="84"/>
        <v>390</v>
      </c>
      <c r="G518" s="8"/>
      <c r="H518" s="7">
        <f t="shared" si="89"/>
        <v>0</v>
      </c>
      <c r="I518" s="7"/>
      <c r="J518" s="7">
        <v>75</v>
      </c>
      <c r="K518" s="7">
        <v>120</v>
      </c>
      <c r="L518" s="7"/>
      <c r="M518" s="7">
        <v>1</v>
      </c>
      <c r="N518" s="7"/>
      <c r="O518" s="7"/>
      <c r="P518" s="7"/>
      <c r="Q518" s="7"/>
      <c r="R518" s="7"/>
      <c r="S518" s="9">
        <f t="shared" si="82"/>
        <v>196</v>
      </c>
      <c r="T518" s="10">
        <f t="shared" si="83"/>
        <v>0</v>
      </c>
      <c r="U518" s="10"/>
      <c r="V518">
        <f t="shared" si="85"/>
        <v>19.5</v>
      </c>
      <c r="W518">
        <f t="shared" si="86"/>
        <v>0</v>
      </c>
      <c r="X518">
        <f t="shared" si="87"/>
        <v>195</v>
      </c>
      <c r="Y518">
        <f t="shared" si="88"/>
        <v>25.35</v>
      </c>
    </row>
    <row r="519" spans="1:25">
      <c r="A519" s="6"/>
      <c r="B519" s="6" t="s">
        <v>33</v>
      </c>
      <c r="C519" s="7" t="s">
        <v>26</v>
      </c>
      <c r="D519" s="7"/>
      <c r="E519" s="7"/>
      <c r="F519" s="7">
        <f t="shared" si="84"/>
        <v>1144</v>
      </c>
      <c r="G519" s="8"/>
      <c r="H519" s="7">
        <f t="shared" si="89"/>
        <v>0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9">
        <f t="shared" si="82"/>
        <v>1144</v>
      </c>
      <c r="T519" s="10">
        <f t="shared" si="83"/>
        <v>0</v>
      </c>
      <c r="U519" s="10"/>
    </row>
    <row r="520" spans="1:25">
      <c r="A520" s="6"/>
      <c r="B520" s="11" t="s">
        <v>34</v>
      </c>
      <c r="C520" s="7" t="s">
        <v>26</v>
      </c>
      <c r="D520" s="7"/>
      <c r="E520" s="7"/>
      <c r="F520" s="7">
        <f t="shared" si="84"/>
        <v>17</v>
      </c>
      <c r="G520" s="8"/>
      <c r="H520" s="7">
        <f t="shared" si="89"/>
        <v>0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9">
        <f t="shared" si="82"/>
        <v>17</v>
      </c>
      <c r="T520" s="10">
        <f t="shared" si="83"/>
        <v>0</v>
      </c>
      <c r="U520" s="10"/>
    </row>
    <row r="521" spans="1:25">
      <c r="A521" s="6"/>
      <c r="B521" s="11" t="s">
        <v>35</v>
      </c>
      <c r="C521" s="7" t="s">
        <v>26</v>
      </c>
      <c r="D521" s="7"/>
      <c r="E521" s="7"/>
      <c r="F521" s="7">
        <f t="shared" si="84"/>
        <v>120</v>
      </c>
      <c r="G521" s="8"/>
      <c r="H521" s="7">
        <f t="shared" si="89"/>
        <v>0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9">
        <f t="shared" si="82"/>
        <v>120</v>
      </c>
      <c r="T521" s="10">
        <f t="shared" si="83"/>
        <v>0</v>
      </c>
      <c r="U521" s="10"/>
    </row>
    <row r="522" spans="1:25">
      <c r="A522" s="6"/>
      <c r="B522" s="11" t="s">
        <v>36</v>
      </c>
      <c r="C522" s="7" t="s">
        <v>26</v>
      </c>
      <c r="D522" s="7"/>
      <c r="E522" s="7"/>
      <c r="F522" s="7">
        <f t="shared" si="84"/>
        <v>0</v>
      </c>
      <c r="G522" s="8"/>
      <c r="H522" s="7">
        <f t="shared" ref="H522:H575" si="90">T437</f>
        <v>0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9">
        <f t="shared" si="82"/>
        <v>0</v>
      </c>
      <c r="T522" s="10">
        <f t="shared" si="83"/>
        <v>0</v>
      </c>
      <c r="U522" s="10"/>
    </row>
    <row r="523" spans="1:25">
      <c r="A523" s="6"/>
      <c r="B523" s="11" t="s">
        <v>37</v>
      </c>
      <c r="C523" s="7" t="s">
        <v>26</v>
      </c>
      <c r="D523" s="7"/>
      <c r="E523" s="7"/>
      <c r="F523" s="7">
        <f t="shared" si="84"/>
        <v>24</v>
      </c>
      <c r="G523" s="8"/>
      <c r="H523" s="7">
        <f t="shared" si="90"/>
        <v>0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9">
        <f t="shared" si="82"/>
        <v>24</v>
      </c>
      <c r="T523" s="10">
        <f t="shared" si="83"/>
        <v>0</v>
      </c>
      <c r="U523" s="10"/>
    </row>
    <row r="524" spans="1:25">
      <c r="A524" s="6"/>
      <c r="B524" s="11" t="s">
        <v>38</v>
      </c>
      <c r="C524" s="7" t="s">
        <v>26</v>
      </c>
      <c r="D524" s="7"/>
      <c r="E524" s="7"/>
      <c r="F524" s="7">
        <f t="shared" ref="F524:F535" si="91">S439</f>
        <v>0</v>
      </c>
      <c r="G524" s="8"/>
      <c r="H524" s="7">
        <f t="shared" si="90"/>
        <v>0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9">
        <f t="shared" si="82"/>
        <v>0</v>
      </c>
      <c r="T524" s="10">
        <f t="shared" si="83"/>
        <v>0</v>
      </c>
      <c r="U524" s="10"/>
    </row>
    <row r="525" spans="1:25">
      <c r="A525" s="6"/>
      <c r="B525" s="11" t="s">
        <v>39</v>
      </c>
      <c r="C525" s="7" t="s">
        <v>26</v>
      </c>
      <c r="D525" s="7"/>
      <c r="E525" s="7"/>
      <c r="F525" s="7">
        <f t="shared" si="91"/>
        <v>0</v>
      </c>
      <c r="G525" s="8"/>
      <c r="H525" s="7">
        <f t="shared" si="90"/>
        <v>0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9">
        <f t="shared" si="82"/>
        <v>0</v>
      </c>
      <c r="T525" s="10">
        <f t="shared" si="83"/>
        <v>0</v>
      </c>
      <c r="U525" s="10"/>
    </row>
    <row r="526" spans="1:25">
      <c r="A526" s="6"/>
      <c r="B526" s="11" t="s">
        <v>40</v>
      </c>
      <c r="C526" s="7" t="s">
        <v>41</v>
      </c>
      <c r="D526" s="7"/>
      <c r="E526" s="7"/>
      <c r="F526" s="7">
        <f t="shared" si="91"/>
        <v>0</v>
      </c>
      <c r="G526" s="8"/>
      <c r="H526" s="7">
        <f t="shared" si="90"/>
        <v>0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9">
        <f t="shared" si="82"/>
        <v>0</v>
      </c>
      <c r="T526" s="10">
        <f t="shared" si="83"/>
        <v>0</v>
      </c>
      <c r="U526" s="10"/>
    </row>
    <row r="527" spans="1:25">
      <c r="A527" s="6"/>
      <c r="B527" s="11" t="s">
        <v>42</v>
      </c>
      <c r="C527" s="7" t="s">
        <v>41</v>
      </c>
      <c r="D527" s="7"/>
      <c r="E527" s="7"/>
      <c r="F527" s="7">
        <f t="shared" si="91"/>
        <v>53</v>
      </c>
      <c r="G527" s="8"/>
      <c r="H527" s="7">
        <f t="shared" si="90"/>
        <v>0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9">
        <f t="shared" si="82"/>
        <v>53</v>
      </c>
      <c r="T527" s="10">
        <f t="shared" si="83"/>
        <v>0</v>
      </c>
      <c r="U527" s="10"/>
    </row>
    <row r="528" spans="1:25">
      <c r="A528" s="6"/>
      <c r="B528" s="11" t="s">
        <v>43</v>
      </c>
      <c r="C528" s="7" t="s">
        <v>41</v>
      </c>
      <c r="D528" s="7"/>
      <c r="E528" s="7"/>
      <c r="F528" s="7">
        <f t="shared" si="91"/>
        <v>0</v>
      </c>
      <c r="G528" s="8"/>
      <c r="H528" s="7">
        <f t="shared" si="90"/>
        <v>0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9">
        <f t="shared" si="82"/>
        <v>0</v>
      </c>
      <c r="T528" s="10">
        <f t="shared" si="83"/>
        <v>0</v>
      </c>
      <c r="U528" s="10"/>
    </row>
    <row r="529" spans="1:21">
      <c r="A529" s="6"/>
      <c r="B529" s="11" t="s">
        <v>44</v>
      </c>
      <c r="C529" s="7" t="s">
        <v>41</v>
      </c>
      <c r="D529" s="7"/>
      <c r="E529" s="7"/>
      <c r="F529" s="7">
        <f t="shared" si="91"/>
        <v>75</v>
      </c>
      <c r="G529" s="8"/>
      <c r="H529" s="7">
        <f t="shared" si="90"/>
        <v>0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9">
        <f t="shared" si="82"/>
        <v>75</v>
      </c>
      <c r="T529" s="10">
        <f t="shared" si="83"/>
        <v>0</v>
      </c>
      <c r="U529" s="10"/>
    </row>
    <row r="530" spans="1:21">
      <c r="A530" s="6"/>
      <c r="B530" s="11" t="s">
        <v>45</v>
      </c>
      <c r="C530" s="7" t="s">
        <v>41</v>
      </c>
      <c r="D530" s="7"/>
      <c r="E530" s="7"/>
      <c r="F530" s="7">
        <f t="shared" ref="F530:F555" si="92">S445</f>
        <v>0</v>
      </c>
      <c r="G530" s="8"/>
      <c r="H530" s="7">
        <f t="shared" si="90"/>
        <v>0</v>
      </c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9">
        <f t="shared" si="82"/>
        <v>0</v>
      </c>
      <c r="T530" s="10">
        <f t="shared" si="83"/>
        <v>0</v>
      </c>
      <c r="U530" s="10"/>
    </row>
    <row r="531" spans="1:21">
      <c r="A531" s="6"/>
      <c r="B531" s="11" t="s">
        <v>46</v>
      </c>
      <c r="C531" s="7" t="s">
        <v>41</v>
      </c>
      <c r="D531" s="7"/>
      <c r="E531" s="7"/>
      <c r="F531" s="7">
        <f t="shared" si="92"/>
        <v>17</v>
      </c>
      <c r="G531" s="8"/>
      <c r="H531" s="7">
        <f t="shared" si="90"/>
        <v>0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9">
        <f t="shared" si="82"/>
        <v>17</v>
      </c>
      <c r="T531" s="10">
        <f t="shared" si="83"/>
        <v>0</v>
      </c>
      <c r="U531" s="10"/>
    </row>
    <row r="532" spans="1:21">
      <c r="A532" s="6"/>
      <c r="B532" s="11" t="s">
        <v>47</v>
      </c>
      <c r="C532" s="7" t="s">
        <v>26</v>
      </c>
      <c r="D532" s="7"/>
      <c r="E532" s="7"/>
      <c r="F532" s="7">
        <f t="shared" si="92"/>
        <v>0</v>
      </c>
      <c r="G532" s="8"/>
      <c r="H532" s="7">
        <f t="shared" si="90"/>
        <v>0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9">
        <f t="shared" si="82"/>
        <v>0</v>
      </c>
      <c r="T532" s="10">
        <f t="shared" si="83"/>
        <v>0</v>
      </c>
      <c r="U532" s="10"/>
    </row>
    <row r="533" spans="1:21">
      <c r="A533" s="6"/>
      <c r="B533" s="11" t="s">
        <v>48</v>
      </c>
      <c r="C533" s="7" t="s">
        <v>26</v>
      </c>
      <c r="D533" s="7"/>
      <c r="E533" s="7"/>
      <c r="F533" s="7">
        <f t="shared" si="92"/>
        <v>44183</v>
      </c>
      <c r="G533" s="8"/>
      <c r="H533" s="7">
        <f t="shared" si="90"/>
        <v>0</v>
      </c>
      <c r="I533" s="7"/>
      <c r="J533" s="7">
        <v>1350</v>
      </c>
      <c r="K533" s="7">
        <v>420</v>
      </c>
      <c r="L533" s="7"/>
      <c r="M533" s="7">
        <v>27</v>
      </c>
      <c r="N533" s="7"/>
      <c r="O533" s="7"/>
      <c r="P533" s="7"/>
      <c r="Q533" s="7"/>
      <c r="R533" s="7"/>
      <c r="S533" s="9">
        <f t="shared" si="82"/>
        <v>42440</v>
      </c>
      <c r="T533" s="10">
        <f t="shared" si="83"/>
        <v>0</v>
      </c>
      <c r="U533" s="10" t="s">
        <v>110</v>
      </c>
    </row>
    <row r="534" spans="1:21">
      <c r="A534" s="6"/>
      <c r="B534" s="11" t="s">
        <v>50</v>
      </c>
      <c r="C534" s="7" t="s">
        <v>26</v>
      </c>
      <c r="D534" s="7"/>
      <c r="E534" s="7"/>
      <c r="F534" s="7">
        <f t="shared" si="92"/>
        <v>0</v>
      </c>
      <c r="G534" s="8"/>
      <c r="H534" s="7">
        <f t="shared" si="90"/>
        <v>0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9">
        <f t="shared" si="82"/>
        <v>0</v>
      </c>
      <c r="T534" s="10">
        <f t="shared" si="83"/>
        <v>0</v>
      </c>
      <c r="U534" s="10"/>
    </row>
    <row r="535" spans="1:21">
      <c r="A535" s="6"/>
      <c r="B535" s="11" t="s">
        <v>51</v>
      </c>
      <c r="C535" s="7" t="s">
        <v>26</v>
      </c>
      <c r="D535" s="7"/>
      <c r="E535" s="7"/>
      <c r="F535" s="7">
        <f t="shared" si="92"/>
        <v>0</v>
      </c>
      <c r="G535" s="8"/>
      <c r="H535" s="7">
        <f t="shared" si="90"/>
        <v>0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9">
        <f t="shared" si="82"/>
        <v>0</v>
      </c>
      <c r="T535" s="10">
        <f t="shared" si="83"/>
        <v>0</v>
      </c>
      <c r="U535" s="10"/>
    </row>
    <row r="536" spans="1:21">
      <c r="A536" s="6"/>
      <c r="B536" s="11" t="s">
        <v>52</v>
      </c>
      <c r="C536" s="7" t="s">
        <v>26</v>
      </c>
      <c r="D536" s="7"/>
      <c r="E536" s="7"/>
      <c r="F536" s="7">
        <f t="shared" si="92"/>
        <v>17158</v>
      </c>
      <c r="G536" s="8"/>
      <c r="H536" s="7">
        <f t="shared" si="90"/>
        <v>0</v>
      </c>
      <c r="I536" s="7"/>
      <c r="J536" s="7">
        <v>1440</v>
      </c>
      <c r="K536" s="7">
        <v>120</v>
      </c>
      <c r="L536" s="7">
        <v>192</v>
      </c>
      <c r="M536" s="7"/>
      <c r="N536" s="7"/>
      <c r="O536" s="7"/>
      <c r="P536" s="7"/>
      <c r="Q536" s="7"/>
      <c r="R536" s="7"/>
      <c r="S536" s="9">
        <f t="shared" si="82"/>
        <v>15406</v>
      </c>
      <c r="T536" s="10">
        <f t="shared" si="83"/>
        <v>0</v>
      </c>
      <c r="U536" s="10"/>
    </row>
    <row r="537" spans="1:21">
      <c r="A537" s="6"/>
      <c r="B537" s="11" t="s">
        <v>53</v>
      </c>
      <c r="C537" s="7" t="s">
        <v>54</v>
      </c>
      <c r="D537" s="7"/>
      <c r="E537" s="7"/>
      <c r="F537" s="7">
        <f t="shared" si="92"/>
        <v>0</v>
      </c>
      <c r="G537" s="8"/>
      <c r="H537" s="7">
        <f t="shared" si="90"/>
        <v>0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9">
        <f t="shared" si="82"/>
        <v>0</v>
      </c>
      <c r="T537" s="10">
        <f t="shared" si="83"/>
        <v>0</v>
      </c>
      <c r="U537" s="10"/>
    </row>
    <row r="538" spans="1:21">
      <c r="A538" s="6"/>
      <c r="B538" s="11" t="s">
        <v>55</v>
      </c>
      <c r="C538" s="7" t="s">
        <v>54</v>
      </c>
      <c r="D538" s="7"/>
      <c r="E538" s="7"/>
      <c r="F538" s="7">
        <f t="shared" si="92"/>
        <v>15</v>
      </c>
      <c r="G538" s="8"/>
      <c r="H538" s="7">
        <f t="shared" si="90"/>
        <v>0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9">
        <f t="shared" si="82"/>
        <v>15</v>
      </c>
      <c r="T538" s="10">
        <f t="shared" si="83"/>
        <v>0</v>
      </c>
      <c r="U538" s="10"/>
    </row>
    <row r="539" spans="1:21">
      <c r="A539" s="6"/>
      <c r="B539" s="11" t="s">
        <v>56</v>
      </c>
      <c r="C539" s="7" t="s">
        <v>54</v>
      </c>
      <c r="D539" s="7"/>
      <c r="E539" s="7"/>
      <c r="F539" s="7">
        <f t="shared" si="92"/>
        <v>885</v>
      </c>
      <c r="G539" s="8"/>
      <c r="H539" s="7">
        <f t="shared" si="90"/>
        <v>0</v>
      </c>
      <c r="I539" s="7"/>
      <c r="J539" s="7">
        <v>54</v>
      </c>
      <c r="K539" s="7"/>
      <c r="L539" s="7"/>
      <c r="M539" s="7"/>
      <c r="N539" s="7"/>
      <c r="O539" s="7"/>
      <c r="P539" s="7"/>
      <c r="Q539" s="7"/>
      <c r="R539" s="7"/>
      <c r="S539" s="9">
        <f t="shared" si="82"/>
        <v>831</v>
      </c>
      <c r="T539" s="10">
        <f t="shared" si="83"/>
        <v>0</v>
      </c>
      <c r="U539" s="10"/>
    </row>
    <row r="540" spans="1:21">
      <c r="A540" s="6"/>
      <c r="B540" s="11" t="s">
        <v>57</v>
      </c>
      <c r="C540" s="7" t="s">
        <v>54</v>
      </c>
      <c r="D540" s="7"/>
      <c r="E540" s="7"/>
      <c r="F540" s="7">
        <f t="shared" si="92"/>
        <v>443</v>
      </c>
      <c r="G540" s="8"/>
      <c r="H540" s="7">
        <f t="shared" si="90"/>
        <v>0</v>
      </c>
      <c r="I540" s="7"/>
      <c r="J540" s="7"/>
      <c r="K540" s="7"/>
      <c r="L540" s="7"/>
      <c r="M540" s="7">
        <v>34</v>
      </c>
      <c r="N540" s="7"/>
      <c r="O540" s="7"/>
      <c r="P540" s="7"/>
      <c r="Q540" s="7"/>
      <c r="R540" s="7"/>
      <c r="S540" s="9">
        <f t="shared" si="82"/>
        <v>477</v>
      </c>
      <c r="T540" s="10">
        <f t="shared" si="83"/>
        <v>0</v>
      </c>
      <c r="U540" s="10"/>
    </row>
    <row r="541" spans="1:21">
      <c r="A541" s="6"/>
      <c r="B541" s="11" t="s">
        <v>58</v>
      </c>
      <c r="C541" s="7" t="s">
        <v>54</v>
      </c>
      <c r="D541" s="7"/>
      <c r="E541" s="7"/>
      <c r="F541" s="7">
        <f t="shared" si="92"/>
        <v>0</v>
      </c>
      <c r="G541" s="8"/>
      <c r="H541" s="7">
        <f t="shared" si="90"/>
        <v>0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9">
        <f t="shared" si="82"/>
        <v>0</v>
      </c>
      <c r="T541" s="10">
        <f t="shared" si="83"/>
        <v>0</v>
      </c>
      <c r="U541" s="10"/>
    </row>
    <row r="542" spans="1:21">
      <c r="A542" s="6"/>
      <c r="B542" s="11" t="s">
        <v>59</v>
      </c>
      <c r="C542" s="7" t="s">
        <v>54</v>
      </c>
      <c r="D542" s="7"/>
      <c r="E542" s="7"/>
      <c r="F542" s="7">
        <f t="shared" si="92"/>
        <v>19</v>
      </c>
      <c r="G542" s="8"/>
      <c r="H542" s="7">
        <f t="shared" si="90"/>
        <v>0</v>
      </c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9">
        <f t="shared" si="82"/>
        <v>19</v>
      </c>
      <c r="T542" s="10">
        <f t="shared" si="83"/>
        <v>0</v>
      </c>
      <c r="U542" s="10"/>
    </row>
    <row r="543" spans="1:21">
      <c r="A543" s="6"/>
      <c r="B543" s="11" t="s">
        <v>60</v>
      </c>
      <c r="C543" s="7" t="s">
        <v>61</v>
      </c>
      <c r="D543" s="7"/>
      <c r="E543" s="7"/>
      <c r="F543" s="7">
        <f t="shared" si="92"/>
        <v>0</v>
      </c>
      <c r="G543" s="8"/>
      <c r="H543" s="7">
        <f t="shared" si="90"/>
        <v>0</v>
      </c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9">
        <f t="shared" si="82"/>
        <v>0</v>
      </c>
      <c r="T543" s="10">
        <f t="shared" si="83"/>
        <v>0</v>
      </c>
      <c r="U543" s="10"/>
    </row>
    <row r="544" spans="1:21">
      <c r="A544" s="6"/>
      <c r="B544" s="11" t="s">
        <v>62</v>
      </c>
      <c r="C544" s="7" t="s">
        <v>61</v>
      </c>
      <c r="D544" s="7"/>
      <c r="E544" s="7"/>
      <c r="F544" s="7">
        <f t="shared" si="92"/>
        <v>11</v>
      </c>
      <c r="G544" s="8"/>
      <c r="H544" s="7">
        <f t="shared" si="90"/>
        <v>0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9">
        <f t="shared" si="82"/>
        <v>11</v>
      </c>
      <c r="T544" s="10">
        <f t="shared" si="83"/>
        <v>0</v>
      </c>
      <c r="U544" s="10"/>
    </row>
    <row r="545" spans="1:21">
      <c r="A545" s="6"/>
      <c r="B545" s="10" t="s">
        <v>63</v>
      </c>
      <c r="C545" s="10" t="s">
        <v>41</v>
      </c>
      <c r="D545" s="7"/>
      <c r="E545" s="7"/>
      <c r="F545" s="7">
        <f t="shared" si="92"/>
        <v>0</v>
      </c>
      <c r="G545" s="8"/>
      <c r="H545" s="7">
        <f t="shared" si="90"/>
        <v>0</v>
      </c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9">
        <f t="shared" si="82"/>
        <v>0</v>
      </c>
      <c r="T545" s="10">
        <f t="shared" si="83"/>
        <v>0</v>
      </c>
      <c r="U545" s="10"/>
    </row>
    <row r="546" spans="1:21">
      <c r="A546" s="6"/>
      <c r="B546" s="10" t="s">
        <v>64</v>
      </c>
      <c r="C546" s="10" t="s">
        <v>41</v>
      </c>
      <c r="D546" s="7"/>
      <c r="E546" s="7"/>
      <c r="F546" s="7">
        <f t="shared" si="92"/>
        <v>5</v>
      </c>
      <c r="G546" s="8"/>
      <c r="H546" s="7">
        <f t="shared" si="90"/>
        <v>0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9">
        <f t="shared" si="82"/>
        <v>5</v>
      </c>
      <c r="T546" s="10">
        <f t="shared" si="83"/>
        <v>0</v>
      </c>
      <c r="U546" s="10"/>
    </row>
    <row r="547" spans="1:21">
      <c r="A547" s="6"/>
      <c r="B547" s="11" t="s">
        <v>65</v>
      </c>
      <c r="C547" s="7" t="s">
        <v>26</v>
      </c>
      <c r="D547" s="7"/>
      <c r="E547" s="7"/>
      <c r="F547" s="7">
        <f t="shared" ref="F547:F565" si="93">S462</f>
        <v>0</v>
      </c>
      <c r="G547" s="8"/>
      <c r="H547" s="7">
        <f t="shared" si="90"/>
        <v>0</v>
      </c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9">
        <f t="shared" si="82"/>
        <v>0</v>
      </c>
      <c r="T547" s="10">
        <f t="shared" si="83"/>
        <v>0</v>
      </c>
      <c r="U547" s="10"/>
    </row>
    <row r="548" spans="1:21">
      <c r="A548" s="6"/>
      <c r="B548" s="11" t="s">
        <v>66</v>
      </c>
      <c r="C548" s="7" t="s">
        <v>26</v>
      </c>
      <c r="D548" s="7"/>
      <c r="E548" s="7"/>
      <c r="F548" s="7">
        <f t="shared" si="93"/>
        <v>71</v>
      </c>
      <c r="G548" s="8"/>
      <c r="H548" s="7">
        <f t="shared" si="90"/>
        <v>0</v>
      </c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9">
        <f t="shared" si="82"/>
        <v>71</v>
      </c>
      <c r="T548" s="10">
        <f t="shared" si="83"/>
        <v>0</v>
      </c>
      <c r="U548" s="10"/>
    </row>
    <row r="549" spans="1:21">
      <c r="A549" s="6"/>
      <c r="B549" s="11" t="s">
        <v>67</v>
      </c>
      <c r="C549" s="7" t="s">
        <v>26</v>
      </c>
      <c r="D549" s="7"/>
      <c r="E549" s="7"/>
      <c r="F549" s="7">
        <f t="shared" si="93"/>
        <v>0</v>
      </c>
      <c r="G549" s="8"/>
      <c r="H549" s="7">
        <f t="shared" si="90"/>
        <v>0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9">
        <f t="shared" si="82"/>
        <v>0</v>
      </c>
      <c r="T549" s="10">
        <f t="shared" si="83"/>
        <v>0</v>
      </c>
      <c r="U549" s="10"/>
    </row>
    <row r="550" spans="1:21">
      <c r="A550" s="6"/>
      <c r="B550" s="11" t="s">
        <v>68</v>
      </c>
      <c r="C550" s="7" t="s">
        <v>26</v>
      </c>
      <c r="D550" s="7"/>
      <c r="E550" s="7"/>
      <c r="F550" s="7">
        <f t="shared" si="93"/>
        <v>7</v>
      </c>
      <c r="G550" s="8"/>
      <c r="H550" s="7">
        <f t="shared" si="90"/>
        <v>0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9">
        <f t="shared" si="82"/>
        <v>7</v>
      </c>
      <c r="T550" s="10">
        <f t="shared" si="83"/>
        <v>0</v>
      </c>
      <c r="U550" s="10"/>
    </row>
    <row r="551" spans="1:21">
      <c r="A551" s="6"/>
      <c r="B551" s="11" t="s">
        <v>69</v>
      </c>
      <c r="C551" s="7" t="s">
        <v>41</v>
      </c>
      <c r="D551" s="7"/>
      <c r="E551" s="7"/>
      <c r="F551" s="7">
        <f t="shared" si="93"/>
        <v>0</v>
      </c>
      <c r="G551" s="8"/>
      <c r="H551" s="7">
        <f t="shared" si="90"/>
        <v>0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9">
        <f t="shared" ref="S551:S610" si="94">F551+G551-J551-K551-L551+M551+O551-P551-R551</f>
        <v>0</v>
      </c>
      <c r="T551" s="10">
        <f t="shared" ref="T551:T610" si="95">H551+I551+N551+R551-Q551</f>
        <v>0</v>
      </c>
      <c r="U551" s="10"/>
    </row>
    <row r="552" spans="1:21">
      <c r="A552" s="6"/>
      <c r="B552" s="11" t="s">
        <v>70</v>
      </c>
      <c r="C552" s="7" t="s">
        <v>41</v>
      </c>
      <c r="D552" s="7"/>
      <c r="E552" s="7"/>
      <c r="F552" s="7">
        <f t="shared" si="93"/>
        <v>13</v>
      </c>
      <c r="G552" s="8"/>
      <c r="H552" s="7">
        <f t="shared" si="90"/>
        <v>0</v>
      </c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9">
        <f t="shared" si="94"/>
        <v>13</v>
      </c>
      <c r="T552" s="10">
        <f t="shared" si="95"/>
        <v>0</v>
      </c>
      <c r="U552" s="10"/>
    </row>
    <row r="553" spans="1:21">
      <c r="A553" s="6"/>
      <c r="B553" s="11" t="s">
        <v>71</v>
      </c>
      <c r="C553" s="7" t="s">
        <v>61</v>
      </c>
      <c r="D553" s="7"/>
      <c r="E553" s="7"/>
      <c r="F553" s="7">
        <f t="shared" si="93"/>
        <v>0</v>
      </c>
      <c r="G553" s="8"/>
      <c r="H553" s="7">
        <f t="shared" si="90"/>
        <v>0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9">
        <f t="shared" si="94"/>
        <v>0</v>
      </c>
      <c r="T553" s="10">
        <f t="shared" si="95"/>
        <v>0</v>
      </c>
      <c r="U553" s="10"/>
    </row>
    <row r="554" spans="1:21">
      <c r="A554" s="6"/>
      <c r="B554" s="11" t="s">
        <v>72</v>
      </c>
      <c r="C554" s="7" t="s">
        <v>61</v>
      </c>
      <c r="D554" s="7"/>
      <c r="E554" s="7"/>
      <c r="F554" s="7">
        <f t="shared" si="93"/>
        <v>8</v>
      </c>
      <c r="G554" s="8"/>
      <c r="H554" s="7">
        <f t="shared" si="90"/>
        <v>0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9">
        <f t="shared" si="94"/>
        <v>8</v>
      </c>
      <c r="T554" s="10">
        <f t="shared" si="95"/>
        <v>0</v>
      </c>
      <c r="U554" s="10"/>
    </row>
    <row r="555" spans="1:21">
      <c r="A555" s="6"/>
      <c r="B555" s="11" t="s">
        <v>73</v>
      </c>
      <c r="C555" s="7" t="s">
        <v>26</v>
      </c>
      <c r="D555" s="7"/>
      <c r="E555" s="7"/>
      <c r="F555" s="7">
        <f t="shared" si="93"/>
        <v>0</v>
      </c>
      <c r="G555" s="8"/>
      <c r="H555" s="7">
        <f t="shared" si="90"/>
        <v>0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9">
        <f t="shared" si="94"/>
        <v>0</v>
      </c>
      <c r="T555" s="10">
        <f t="shared" si="95"/>
        <v>0</v>
      </c>
      <c r="U555" s="10"/>
    </row>
    <row r="556" spans="1:21">
      <c r="A556" s="6"/>
      <c r="B556" s="11" t="s">
        <v>74</v>
      </c>
      <c r="C556" s="7" t="s">
        <v>26</v>
      </c>
      <c r="D556" s="7"/>
      <c r="E556" s="7"/>
      <c r="F556" s="7">
        <f t="shared" si="93"/>
        <v>224</v>
      </c>
      <c r="G556" s="8"/>
      <c r="H556" s="7">
        <f t="shared" si="90"/>
        <v>0</v>
      </c>
      <c r="I556" s="7"/>
      <c r="J556" s="7">
        <v>224</v>
      </c>
      <c r="K556" s="7"/>
      <c r="L556" s="7"/>
      <c r="M556" s="7">
        <v>3</v>
      </c>
      <c r="N556" s="7"/>
      <c r="O556" s="7"/>
      <c r="P556" s="7"/>
      <c r="Q556" s="7"/>
      <c r="R556" s="7"/>
      <c r="S556" s="9">
        <f t="shared" si="94"/>
        <v>3</v>
      </c>
      <c r="T556" s="10">
        <f t="shared" si="95"/>
        <v>0</v>
      </c>
      <c r="U556" s="10"/>
    </row>
    <row r="557" spans="1:21">
      <c r="A557" s="6"/>
      <c r="B557" s="11" t="s">
        <v>75</v>
      </c>
      <c r="C557" s="7" t="s">
        <v>26</v>
      </c>
      <c r="D557" s="7"/>
      <c r="E557" s="7"/>
      <c r="F557" s="7">
        <f t="shared" si="93"/>
        <v>0</v>
      </c>
      <c r="G557" s="8"/>
      <c r="H557" s="7">
        <f t="shared" si="90"/>
        <v>0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9">
        <f t="shared" si="94"/>
        <v>0</v>
      </c>
      <c r="T557" s="10">
        <f t="shared" si="95"/>
        <v>0</v>
      </c>
      <c r="U557" s="10"/>
    </row>
    <row r="558" spans="1:21">
      <c r="A558" s="6"/>
      <c r="B558" s="11" t="s">
        <v>76</v>
      </c>
      <c r="C558" s="7" t="s">
        <v>26</v>
      </c>
      <c r="D558" s="7"/>
      <c r="E558" s="7"/>
      <c r="F558" s="7">
        <f t="shared" si="93"/>
        <v>16</v>
      </c>
      <c r="G558" s="8"/>
      <c r="H558" s="7">
        <f t="shared" si="90"/>
        <v>0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9">
        <f t="shared" si="94"/>
        <v>16</v>
      </c>
      <c r="T558" s="10">
        <f t="shared" si="95"/>
        <v>0</v>
      </c>
      <c r="U558" s="10"/>
    </row>
    <row r="559" spans="1:21">
      <c r="A559" s="6"/>
      <c r="B559" s="11" t="s">
        <v>77</v>
      </c>
      <c r="C559" s="7" t="s">
        <v>61</v>
      </c>
      <c r="D559" s="7"/>
      <c r="E559" s="7"/>
      <c r="F559" s="7">
        <f t="shared" si="93"/>
        <v>0</v>
      </c>
      <c r="G559" s="8"/>
      <c r="H559" s="7">
        <f t="shared" si="90"/>
        <v>0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9">
        <f t="shared" si="94"/>
        <v>0</v>
      </c>
      <c r="T559" s="10">
        <f t="shared" si="95"/>
        <v>0</v>
      </c>
      <c r="U559" s="10"/>
    </row>
    <row r="560" spans="1:21">
      <c r="A560" s="6"/>
      <c r="B560" s="11" t="s">
        <v>78</v>
      </c>
      <c r="C560" s="7" t="s">
        <v>61</v>
      </c>
      <c r="D560" s="7"/>
      <c r="E560" s="7"/>
      <c r="F560" s="7">
        <f t="shared" si="93"/>
        <v>69</v>
      </c>
      <c r="G560" s="8"/>
      <c r="H560" s="7">
        <f t="shared" si="90"/>
        <v>0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9">
        <f t="shared" si="94"/>
        <v>69</v>
      </c>
      <c r="T560" s="10">
        <f t="shared" si="95"/>
        <v>0</v>
      </c>
      <c r="U560" s="10"/>
    </row>
    <row r="561" spans="1:21">
      <c r="A561" s="6"/>
      <c r="B561" s="11" t="s">
        <v>105</v>
      </c>
      <c r="C561" s="7" t="s">
        <v>26</v>
      </c>
      <c r="D561" s="7"/>
      <c r="E561" s="7"/>
      <c r="F561" s="7">
        <f t="shared" si="93"/>
        <v>414</v>
      </c>
      <c r="G561" s="8"/>
      <c r="H561" s="7">
        <f t="shared" si="90"/>
        <v>0</v>
      </c>
      <c r="I561" s="7"/>
      <c r="J561" s="7">
        <v>120</v>
      </c>
      <c r="K561" s="7"/>
      <c r="L561" s="7"/>
      <c r="M561" s="7"/>
      <c r="N561" s="7"/>
      <c r="O561" s="7"/>
      <c r="P561" s="7"/>
      <c r="Q561" s="7"/>
      <c r="R561" s="7"/>
      <c r="S561" s="9">
        <f t="shared" si="94"/>
        <v>294</v>
      </c>
      <c r="T561" s="10">
        <f t="shared" si="95"/>
        <v>0</v>
      </c>
      <c r="U561" s="10"/>
    </row>
    <row r="562" spans="1:21">
      <c r="A562" s="6"/>
      <c r="B562" s="11" t="s">
        <v>80</v>
      </c>
      <c r="C562" s="7" t="s">
        <v>26</v>
      </c>
      <c r="D562" s="7"/>
      <c r="E562" s="7"/>
      <c r="F562" s="7">
        <f t="shared" si="93"/>
        <v>448</v>
      </c>
      <c r="G562" s="8"/>
      <c r="H562" s="7">
        <f t="shared" si="90"/>
        <v>0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9">
        <f t="shared" si="94"/>
        <v>448</v>
      </c>
      <c r="T562" s="10">
        <f t="shared" si="95"/>
        <v>0</v>
      </c>
      <c r="U562" s="10"/>
    </row>
    <row r="563" spans="1:21">
      <c r="A563" s="6"/>
      <c r="B563" s="11" t="s">
        <v>81</v>
      </c>
      <c r="C563" s="7" t="s">
        <v>26</v>
      </c>
      <c r="D563" s="7"/>
      <c r="E563" s="7"/>
      <c r="F563" s="7">
        <f t="shared" ref="F563:F576" si="96">S478</f>
        <v>0</v>
      </c>
      <c r="G563" s="8"/>
      <c r="H563" s="7">
        <f t="shared" si="90"/>
        <v>0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9">
        <f t="shared" si="94"/>
        <v>0</v>
      </c>
      <c r="T563" s="10">
        <f t="shared" si="95"/>
        <v>0</v>
      </c>
      <c r="U563" s="10"/>
    </row>
    <row r="564" spans="1:21">
      <c r="A564" s="6"/>
      <c r="B564" s="11" t="s">
        <v>82</v>
      </c>
      <c r="C564" s="7" t="s">
        <v>26</v>
      </c>
      <c r="D564" s="7"/>
      <c r="E564" s="7"/>
      <c r="F564" s="7">
        <f t="shared" si="96"/>
        <v>14</v>
      </c>
      <c r="G564" s="8"/>
      <c r="H564" s="7">
        <f t="shared" si="90"/>
        <v>0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9">
        <f t="shared" si="94"/>
        <v>14</v>
      </c>
      <c r="T564" s="10">
        <f t="shared" si="95"/>
        <v>0</v>
      </c>
      <c r="U564" s="10"/>
    </row>
    <row r="565" spans="1:21">
      <c r="A565" s="6"/>
      <c r="B565" s="11" t="s">
        <v>83</v>
      </c>
      <c r="C565" s="7" t="s">
        <v>26</v>
      </c>
      <c r="D565" s="7"/>
      <c r="E565" s="7"/>
      <c r="F565" s="7">
        <f t="shared" si="96"/>
        <v>0</v>
      </c>
      <c r="G565" s="8"/>
      <c r="H565" s="7">
        <f t="shared" si="90"/>
        <v>0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9">
        <f t="shared" si="94"/>
        <v>0</v>
      </c>
      <c r="T565" s="10">
        <f t="shared" si="95"/>
        <v>0</v>
      </c>
      <c r="U565" s="10"/>
    </row>
    <row r="566" spans="1:21">
      <c r="A566" s="6"/>
      <c r="B566" s="11" t="s">
        <v>84</v>
      </c>
      <c r="C566" s="7" t="s">
        <v>26</v>
      </c>
      <c r="D566" s="7"/>
      <c r="E566" s="7"/>
      <c r="F566" s="7">
        <f t="shared" si="96"/>
        <v>28</v>
      </c>
      <c r="G566" s="8"/>
      <c r="H566" s="7">
        <f t="shared" si="90"/>
        <v>0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9">
        <f t="shared" si="94"/>
        <v>28</v>
      </c>
      <c r="T566" s="10">
        <f t="shared" si="95"/>
        <v>0</v>
      </c>
      <c r="U566" s="10"/>
    </row>
    <row r="567" spans="1:21">
      <c r="A567" s="6"/>
      <c r="B567" s="11" t="s">
        <v>85</v>
      </c>
      <c r="C567" s="7" t="s">
        <v>61</v>
      </c>
      <c r="D567" s="7"/>
      <c r="E567" s="7"/>
      <c r="F567" s="7">
        <f t="shared" si="96"/>
        <v>0</v>
      </c>
      <c r="G567" s="8"/>
      <c r="H567" s="7">
        <f t="shared" si="90"/>
        <v>0</v>
      </c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9">
        <f t="shared" si="94"/>
        <v>0</v>
      </c>
      <c r="T567" s="10">
        <f t="shared" si="95"/>
        <v>0</v>
      </c>
      <c r="U567" s="10"/>
    </row>
    <row r="568" spans="1:21">
      <c r="A568" s="6"/>
      <c r="B568" s="11" t="s">
        <v>86</v>
      </c>
      <c r="C568" s="7" t="s">
        <v>61</v>
      </c>
      <c r="D568" s="7"/>
      <c r="E568" s="7"/>
      <c r="F568" s="7">
        <f t="shared" si="96"/>
        <v>10</v>
      </c>
      <c r="G568" s="8"/>
      <c r="H568" s="7">
        <f t="shared" si="90"/>
        <v>0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9">
        <f t="shared" si="94"/>
        <v>10</v>
      </c>
      <c r="T568" s="10">
        <f t="shared" si="95"/>
        <v>0</v>
      </c>
      <c r="U568" s="10"/>
    </row>
    <row r="569" spans="1:21">
      <c r="A569" s="6"/>
      <c r="B569" s="11" t="s">
        <v>87</v>
      </c>
      <c r="C569" s="7" t="s">
        <v>26</v>
      </c>
      <c r="D569" s="7"/>
      <c r="E569" s="7"/>
      <c r="F569" s="7">
        <f t="shared" si="96"/>
        <v>0</v>
      </c>
      <c r="G569" s="8"/>
      <c r="H569" s="7">
        <f t="shared" si="90"/>
        <v>0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9">
        <f t="shared" si="94"/>
        <v>0</v>
      </c>
      <c r="T569" s="10">
        <f t="shared" si="95"/>
        <v>0</v>
      </c>
      <c r="U569" s="10"/>
    </row>
    <row r="570" spans="1:21">
      <c r="A570" s="6"/>
      <c r="B570" s="11" t="s">
        <v>88</v>
      </c>
      <c r="C570" s="10"/>
      <c r="D570" s="7"/>
      <c r="E570" s="7"/>
      <c r="F570" s="7">
        <f t="shared" si="96"/>
        <v>73</v>
      </c>
      <c r="G570" s="8">
        <v>27</v>
      </c>
      <c r="H570" s="7">
        <f t="shared" si="90"/>
        <v>0</v>
      </c>
      <c r="I570" s="7"/>
      <c r="J570" s="7">
        <v>100</v>
      </c>
      <c r="K570" s="7"/>
      <c r="L570" s="7"/>
      <c r="M570" s="7"/>
      <c r="N570" s="7"/>
      <c r="O570" s="7"/>
      <c r="P570" s="7"/>
      <c r="Q570" s="7"/>
      <c r="R570" s="7"/>
      <c r="S570" s="9">
        <f t="shared" si="94"/>
        <v>0</v>
      </c>
      <c r="T570" s="10">
        <f t="shared" si="95"/>
        <v>0</v>
      </c>
      <c r="U570" s="10"/>
    </row>
    <row r="571" spans="1:21">
      <c r="A571" s="6"/>
      <c r="B571" s="11" t="s">
        <v>89</v>
      </c>
      <c r="C571" s="7" t="s">
        <v>26</v>
      </c>
      <c r="D571" s="7"/>
      <c r="E571" s="7"/>
      <c r="F571" s="7">
        <f t="shared" si="96"/>
        <v>858</v>
      </c>
      <c r="G571" s="8"/>
      <c r="H571" s="7">
        <f t="shared" si="90"/>
        <v>0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9">
        <f t="shared" si="94"/>
        <v>858</v>
      </c>
      <c r="T571" s="10">
        <f t="shared" si="95"/>
        <v>0</v>
      </c>
      <c r="U571" s="10"/>
    </row>
    <row r="572" spans="1:21">
      <c r="A572" s="6"/>
      <c r="B572" s="11" t="s">
        <v>90</v>
      </c>
      <c r="C572" s="7" t="s">
        <v>26</v>
      </c>
      <c r="D572" s="7"/>
      <c r="E572" s="7"/>
      <c r="F572" s="7">
        <f t="shared" si="96"/>
        <v>0</v>
      </c>
      <c r="G572" s="8"/>
      <c r="H572" s="7">
        <f t="shared" si="90"/>
        <v>0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9">
        <f t="shared" si="94"/>
        <v>0</v>
      </c>
      <c r="T572" s="10">
        <f t="shared" si="95"/>
        <v>0</v>
      </c>
      <c r="U572" s="10"/>
    </row>
    <row r="573" spans="1:21">
      <c r="A573" s="6"/>
      <c r="B573" s="11" t="s">
        <v>91</v>
      </c>
      <c r="C573" s="7" t="s">
        <v>26</v>
      </c>
      <c r="D573" s="7"/>
      <c r="E573" s="7"/>
      <c r="F573" s="7">
        <f t="shared" si="96"/>
        <v>138</v>
      </c>
      <c r="G573" s="8"/>
      <c r="H573" s="7">
        <f t="shared" si="90"/>
        <v>0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9">
        <f t="shared" si="94"/>
        <v>138</v>
      </c>
      <c r="T573" s="10">
        <f t="shared" si="95"/>
        <v>0</v>
      </c>
      <c r="U573" s="10"/>
    </row>
    <row r="574" spans="1:21">
      <c r="A574" s="6"/>
      <c r="B574" s="12" t="s">
        <v>92</v>
      </c>
      <c r="C574" s="13" t="s">
        <v>26</v>
      </c>
      <c r="D574" s="7"/>
      <c r="E574" s="7"/>
      <c r="F574" s="7">
        <f t="shared" si="96"/>
        <v>708</v>
      </c>
      <c r="G574" s="8"/>
      <c r="H574" s="7">
        <f t="shared" si="90"/>
        <v>0</v>
      </c>
      <c r="I574" s="7"/>
      <c r="J574" s="7">
        <v>288</v>
      </c>
      <c r="K574" s="7">
        <v>72</v>
      </c>
      <c r="L574" s="7"/>
      <c r="M574" s="7"/>
      <c r="N574" s="7"/>
      <c r="O574" s="7"/>
      <c r="P574" s="7"/>
      <c r="Q574" s="7"/>
      <c r="R574" s="7"/>
      <c r="S574" s="9">
        <f t="shared" si="94"/>
        <v>348</v>
      </c>
      <c r="T574" s="10">
        <f t="shared" si="95"/>
        <v>0</v>
      </c>
      <c r="U574" s="10"/>
    </row>
    <row r="575" spans="1:21">
      <c r="A575" s="6"/>
      <c r="B575" s="12" t="s">
        <v>93</v>
      </c>
      <c r="C575" s="13" t="s">
        <v>26</v>
      </c>
      <c r="D575" s="7"/>
      <c r="E575" s="7"/>
      <c r="F575" s="7">
        <f t="shared" si="96"/>
        <v>3298</v>
      </c>
      <c r="G575" s="8"/>
      <c r="H575" s="7">
        <f t="shared" si="90"/>
        <v>0</v>
      </c>
      <c r="I575" s="7"/>
      <c r="J575" s="7"/>
      <c r="K575" s="7"/>
      <c r="L575" s="7"/>
      <c r="M575" s="7">
        <v>17</v>
      </c>
      <c r="N575" s="7"/>
      <c r="O575" s="7"/>
      <c r="P575" s="7"/>
      <c r="Q575" s="7"/>
      <c r="R575" s="7"/>
      <c r="S575" s="9">
        <f t="shared" si="94"/>
        <v>3315</v>
      </c>
      <c r="T575" s="10">
        <f t="shared" si="95"/>
        <v>0</v>
      </c>
      <c r="U575" s="10"/>
    </row>
    <row r="576" spans="1:21">
      <c r="A576" s="6"/>
      <c r="B576" s="11" t="s">
        <v>94</v>
      </c>
      <c r="C576" s="7" t="s">
        <v>41</v>
      </c>
      <c r="D576" s="7"/>
      <c r="E576" s="7"/>
      <c r="F576" s="7">
        <f t="shared" ref="F576:F596" si="97">S491</f>
        <v>0</v>
      </c>
      <c r="G576" s="8"/>
      <c r="H576" s="7">
        <f t="shared" ref="H576:H635" si="98">T491</f>
        <v>0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9">
        <f t="shared" si="94"/>
        <v>0</v>
      </c>
      <c r="T576" s="10">
        <f t="shared" si="95"/>
        <v>0</v>
      </c>
      <c r="U576" s="10"/>
    </row>
    <row r="577" spans="1:21">
      <c r="A577" s="6"/>
      <c r="B577" s="11" t="s">
        <v>95</v>
      </c>
      <c r="C577" s="7" t="s">
        <v>41</v>
      </c>
      <c r="D577" s="7"/>
      <c r="E577" s="7"/>
      <c r="F577" s="7">
        <f t="shared" si="97"/>
        <v>39</v>
      </c>
      <c r="G577" s="8"/>
      <c r="H577" s="7">
        <f t="shared" si="98"/>
        <v>0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9">
        <f t="shared" si="94"/>
        <v>39</v>
      </c>
      <c r="T577" s="10">
        <f t="shared" si="95"/>
        <v>0</v>
      </c>
      <c r="U577" s="10"/>
    </row>
    <row r="578" spans="1:21">
      <c r="A578" s="6"/>
      <c r="B578" s="11" t="s">
        <v>96</v>
      </c>
      <c r="C578" s="7" t="s">
        <v>41</v>
      </c>
      <c r="D578" s="7"/>
      <c r="E578" s="7"/>
      <c r="F578" s="7">
        <f t="shared" si="97"/>
        <v>0</v>
      </c>
      <c r="G578" s="8"/>
      <c r="H578" s="7">
        <f t="shared" si="98"/>
        <v>0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9">
        <f t="shared" si="94"/>
        <v>0</v>
      </c>
      <c r="T578" s="10">
        <f t="shared" si="95"/>
        <v>0</v>
      </c>
      <c r="U578" s="10"/>
    </row>
    <row r="579" spans="1:21">
      <c r="A579" s="6"/>
      <c r="B579" s="11" t="s">
        <v>97</v>
      </c>
      <c r="C579" s="7" t="s">
        <v>41</v>
      </c>
      <c r="D579" s="7"/>
      <c r="E579" s="7"/>
      <c r="F579" s="7">
        <f t="shared" si="97"/>
        <v>54</v>
      </c>
      <c r="G579" s="8"/>
      <c r="H579" s="7">
        <f t="shared" si="98"/>
        <v>0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9">
        <f t="shared" si="94"/>
        <v>54</v>
      </c>
      <c r="T579" s="10">
        <f t="shared" si="95"/>
        <v>0</v>
      </c>
      <c r="U579" s="10"/>
    </row>
    <row r="580" spans="1:21">
      <c r="A580" s="6"/>
      <c r="B580" s="11" t="s">
        <v>98</v>
      </c>
      <c r="C580" s="7" t="s">
        <v>26</v>
      </c>
      <c r="D580" s="7"/>
      <c r="E580" s="7"/>
      <c r="F580" s="7">
        <f t="shared" si="97"/>
        <v>969</v>
      </c>
      <c r="G580" s="8"/>
      <c r="H580" s="7">
        <f t="shared" si="98"/>
        <v>0</v>
      </c>
      <c r="I580" s="7"/>
      <c r="J580" s="7">
        <v>128</v>
      </c>
      <c r="K580" s="7"/>
      <c r="L580" s="7"/>
      <c r="M580" s="7"/>
      <c r="N580" s="7"/>
      <c r="O580" s="7"/>
      <c r="P580" s="7"/>
      <c r="Q580" s="7"/>
      <c r="R580" s="7"/>
      <c r="S580" s="9">
        <f t="shared" si="94"/>
        <v>841</v>
      </c>
      <c r="T580" s="10">
        <f t="shared" si="95"/>
        <v>0</v>
      </c>
      <c r="U580" s="10"/>
    </row>
    <row r="581" spans="1:21">
      <c r="A581" s="6"/>
      <c r="B581" s="11" t="s">
        <v>99</v>
      </c>
      <c r="C581" s="7" t="s">
        <v>26</v>
      </c>
      <c r="D581" s="7"/>
      <c r="E581" s="7"/>
      <c r="F581" s="7">
        <f t="shared" si="97"/>
        <v>1064</v>
      </c>
      <c r="G581" s="8"/>
      <c r="H581" s="7">
        <f t="shared" si="98"/>
        <v>0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9">
        <f t="shared" si="94"/>
        <v>1064</v>
      </c>
      <c r="T581" s="10">
        <f t="shared" si="95"/>
        <v>0</v>
      </c>
      <c r="U581" s="10"/>
    </row>
    <row r="582" spans="1:21">
      <c r="A582" s="6"/>
      <c r="B582" s="11" t="s">
        <v>100</v>
      </c>
      <c r="C582" s="7" t="s">
        <v>26</v>
      </c>
      <c r="D582" s="7"/>
      <c r="E582" s="7"/>
      <c r="F582" s="7">
        <f t="shared" si="97"/>
        <v>384</v>
      </c>
      <c r="G582" s="8"/>
      <c r="H582" s="7">
        <f t="shared" si="98"/>
        <v>0</v>
      </c>
      <c r="I582" s="7"/>
      <c r="J582" s="7"/>
      <c r="K582" s="7"/>
      <c r="L582" s="7"/>
      <c r="M582" s="7"/>
      <c r="N582" s="7"/>
      <c r="O582" s="7">
        <v>26</v>
      </c>
      <c r="P582" s="7"/>
      <c r="Q582" s="7"/>
      <c r="R582" s="7"/>
      <c r="S582" s="9">
        <f t="shared" si="94"/>
        <v>410</v>
      </c>
      <c r="T582" s="10">
        <f t="shared" si="95"/>
        <v>0</v>
      </c>
      <c r="U582" s="10"/>
    </row>
    <row r="583" spans="1:21">
      <c r="A583" s="6"/>
      <c r="B583" s="11" t="s">
        <v>101</v>
      </c>
      <c r="C583" s="7" t="s">
        <v>26</v>
      </c>
      <c r="D583" s="7"/>
      <c r="E583" s="7"/>
      <c r="F583" s="7">
        <f t="shared" si="97"/>
        <v>261</v>
      </c>
      <c r="G583" s="8"/>
      <c r="H583" s="7">
        <f t="shared" si="98"/>
        <v>0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9">
        <f t="shared" si="94"/>
        <v>261</v>
      </c>
      <c r="T583" s="10">
        <f t="shared" si="95"/>
        <v>0</v>
      </c>
      <c r="U583" s="10"/>
    </row>
    <row r="584" spans="1:21">
      <c r="A584" s="6"/>
      <c r="B584" s="11" t="s">
        <v>102</v>
      </c>
      <c r="C584" s="7" t="s">
        <v>26</v>
      </c>
      <c r="D584" s="7"/>
      <c r="E584" s="7"/>
      <c r="F584" s="7">
        <f t="shared" si="97"/>
        <v>928</v>
      </c>
      <c r="G584" s="8"/>
      <c r="H584" s="7">
        <f t="shared" si="98"/>
        <v>0</v>
      </c>
      <c r="I584" s="7"/>
      <c r="J584" s="7"/>
      <c r="K584" s="7"/>
      <c r="L584" s="7"/>
      <c r="M584" s="7"/>
      <c r="N584" s="7"/>
      <c r="O584" s="7">
        <v>54</v>
      </c>
      <c r="P584" s="7"/>
      <c r="Q584" s="7"/>
      <c r="R584" s="7"/>
      <c r="S584" s="9">
        <f t="shared" si="94"/>
        <v>982</v>
      </c>
      <c r="T584" s="10">
        <f t="shared" si="95"/>
        <v>0</v>
      </c>
      <c r="U584" s="10"/>
    </row>
    <row r="585" spans="1:21">
      <c r="A585" s="6"/>
      <c r="B585" s="11" t="s">
        <v>103</v>
      </c>
      <c r="C585" s="7" t="s">
        <v>26</v>
      </c>
      <c r="D585" s="7"/>
      <c r="E585" s="7"/>
      <c r="F585" s="7">
        <f t="shared" si="97"/>
        <v>257</v>
      </c>
      <c r="G585" s="8"/>
      <c r="H585" s="7">
        <f t="shared" si="98"/>
        <v>0</v>
      </c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9">
        <f t="shared" si="94"/>
        <v>257</v>
      </c>
      <c r="T585" s="10">
        <f t="shared" si="95"/>
        <v>0</v>
      </c>
      <c r="U585" s="10"/>
    </row>
    <row r="586" spans="1:21">
      <c r="A586" s="6"/>
      <c r="B586" s="11"/>
      <c r="C586" s="7"/>
      <c r="D586" s="7"/>
      <c r="E586" s="7"/>
      <c r="F586" s="7">
        <f t="shared" si="97"/>
        <v>0</v>
      </c>
      <c r="G586" s="8"/>
      <c r="H586" s="7">
        <f t="shared" si="98"/>
        <v>0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9">
        <f t="shared" si="94"/>
        <v>0</v>
      </c>
      <c r="T586" s="10">
        <f t="shared" si="95"/>
        <v>0</v>
      </c>
      <c r="U586" s="10"/>
    </row>
    <row r="587" spans="1:21">
      <c r="A587" s="6"/>
      <c r="B587" s="11"/>
      <c r="C587" s="7"/>
      <c r="D587" s="7"/>
      <c r="E587" s="7"/>
      <c r="F587" s="7">
        <f t="shared" si="97"/>
        <v>0</v>
      </c>
      <c r="G587" s="8"/>
      <c r="H587" s="7">
        <f t="shared" si="98"/>
        <v>0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9">
        <f t="shared" si="94"/>
        <v>0</v>
      </c>
      <c r="T587" s="10">
        <f t="shared" si="95"/>
        <v>0</v>
      </c>
      <c r="U587" s="10"/>
    </row>
    <row r="588" spans="1:21">
      <c r="A588" s="6"/>
      <c r="B588" s="11"/>
      <c r="C588" s="7"/>
      <c r="D588" s="7"/>
      <c r="E588" s="7"/>
      <c r="F588" s="7">
        <f t="shared" si="97"/>
        <v>0</v>
      </c>
      <c r="G588" s="8"/>
      <c r="H588" s="7">
        <f t="shared" si="98"/>
        <v>0</v>
      </c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9">
        <f t="shared" si="94"/>
        <v>0</v>
      </c>
      <c r="T588" s="10">
        <f t="shared" si="95"/>
        <v>0</v>
      </c>
      <c r="U588" s="10"/>
    </row>
    <row r="589" spans="1:21">
      <c r="A589" s="6"/>
      <c r="B589" s="11"/>
      <c r="C589" s="7"/>
      <c r="D589" s="7"/>
      <c r="E589" s="7"/>
      <c r="F589" s="7">
        <f t="shared" si="97"/>
        <v>0</v>
      </c>
      <c r="G589" s="8"/>
      <c r="H589" s="7">
        <f t="shared" si="98"/>
        <v>0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9">
        <f t="shared" si="94"/>
        <v>0</v>
      </c>
      <c r="T589" s="10">
        <f t="shared" si="95"/>
        <v>0</v>
      </c>
      <c r="U589" s="10"/>
    </row>
    <row r="590" spans="1:21">
      <c r="A590" s="6"/>
      <c r="B590" s="11"/>
      <c r="C590" s="7"/>
      <c r="D590" s="7"/>
      <c r="E590" s="7"/>
      <c r="F590" s="7">
        <f t="shared" si="97"/>
        <v>0</v>
      </c>
      <c r="G590" s="8"/>
      <c r="H590" s="7">
        <f t="shared" si="98"/>
        <v>0</v>
      </c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9">
        <f t="shared" si="94"/>
        <v>0</v>
      </c>
      <c r="T590" s="10">
        <f t="shared" si="95"/>
        <v>0</v>
      </c>
      <c r="U590" s="10"/>
    </row>
    <row r="591" spans="1:21">
      <c r="A591" s="6"/>
      <c r="B591" s="11"/>
      <c r="C591" s="7"/>
      <c r="D591" s="7"/>
      <c r="E591" s="7"/>
      <c r="F591" s="7">
        <f t="shared" si="97"/>
        <v>0</v>
      </c>
      <c r="G591" s="8"/>
      <c r="H591" s="7">
        <f t="shared" si="98"/>
        <v>0</v>
      </c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9">
        <f t="shared" si="94"/>
        <v>0</v>
      </c>
      <c r="T591" s="10">
        <f t="shared" si="95"/>
        <v>0</v>
      </c>
      <c r="U591" s="10"/>
    </row>
    <row r="592" spans="1:21">
      <c r="A592" s="6"/>
      <c r="B592" s="11"/>
      <c r="C592" s="7"/>
      <c r="D592" s="7"/>
      <c r="E592" s="7"/>
      <c r="F592" s="7">
        <f t="shared" si="97"/>
        <v>0</v>
      </c>
      <c r="G592" s="8"/>
      <c r="H592" s="7">
        <f t="shared" si="98"/>
        <v>0</v>
      </c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9">
        <f t="shared" si="94"/>
        <v>0</v>
      </c>
      <c r="T592" s="10">
        <f t="shared" si="95"/>
        <v>0</v>
      </c>
      <c r="U592" s="10"/>
    </row>
    <row r="593" spans="1:25">
      <c r="A593" s="6"/>
      <c r="B593" s="11"/>
      <c r="C593" s="7"/>
      <c r="D593" s="7"/>
      <c r="E593" s="7"/>
      <c r="F593" s="7">
        <f t="shared" si="97"/>
        <v>0</v>
      </c>
      <c r="G593" s="8"/>
      <c r="H593" s="7">
        <f t="shared" si="98"/>
        <v>0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9">
        <f t="shared" si="94"/>
        <v>0</v>
      </c>
      <c r="T593" s="10">
        <f t="shared" si="95"/>
        <v>0</v>
      </c>
      <c r="U593" s="10"/>
    </row>
    <row r="594" spans="1:25">
      <c r="A594" s="6"/>
      <c r="B594" s="11"/>
      <c r="C594" s="7"/>
      <c r="D594" s="7"/>
      <c r="E594" s="7"/>
      <c r="F594" s="7">
        <f t="shared" si="97"/>
        <v>0</v>
      </c>
      <c r="G594" s="8"/>
      <c r="H594" s="7">
        <f t="shared" si="98"/>
        <v>0</v>
      </c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9">
        <f t="shared" si="94"/>
        <v>0</v>
      </c>
      <c r="T594" s="10">
        <f t="shared" si="95"/>
        <v>0</v>
      </c>
      <c r="U594" s="10"/>
    </row>
    <row r="595" spans="1:25">
      <c r="A595" s="6"/>
      <c r="B595" s="11"/>
      <c r="C595" s="7"/>
      <c r="D595" s="7"/>
      <c r="E595" s="7"/>
      <c r="F595" s="7">
        <f t="shared" si="97"/>
        <v>0</v>
      </c>
      <c r="G595" s="8"/>
      <c r="H595" s="7">
        <f t="shared" si="98"/>
        <v>0</v>
      </c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9">
        <f t="shared" si="94"/>
        <v>0</v>
      </c>
      <c r="T595" s="10">
        <f t="shared" si="95"/>
        <v>0</v>
      </c>
      <c r="U595" s="10"/>
    </row>
    <row r="596" spans="1:25">
      <c r="A596" s="6"/>
      <c r="B596" s="11"/>
      <c r="C596" s="7"/>
      <c r="D596" s="7"/>
      <c r="E596" s="7"/>
      <c r="F596" s="7">
        <f t="shared" si="97"/>
        <v>0</v>
      </c>
      <c r="G596" s="8"/>
      <c r="H596" s="7">
        <f t="shared" si="98"/>
        <v>0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9">
        <f t="shared" si="94"/>
        <v>0</v>
      </c>
      <c r="T596" s="10">
        <f t="shared" si="95"/>
        <v>0</v>
      </c>
      <c r="U596" s="10"/>
      <c r="V596">
        <f>X596*0.1</f>
        <v>0</v>
      </c>
      <c r="W596">
        <f>E596*S596*1.5</f>
        <v>0</v>
      </c>
      <c r="X596">
        <f>J596+K596</f>
        <v>0</v>
      </c>
      <c r="Y596">
        <f>X596*0.13</f>
        <v>0</v>
      </c>
    </row>
    <row r="597" spans="1:25">
      <c r="A597" s="6">
        <v>46150</v>
      </c>
      <c r="B597" t="s">
        <v>25</v>
      </c>
      <c r="C597" s="7" t="s">
        <v>26</v>
      </c>
      <c r="D597" s="7"/>
      <c r="E597" s="7"/>
      <c r="F597" s="7">
        <f t="shared" ref="F596:F608" si="99">S512</f>
        <v>1450</v>
      </c>
      <c r="G597" s="8"/>
      <c r="H597" s="7">
        <f t="shared" si="98"/>
        <v>0</v>
      </c>
      <c r="I597" s="7"/>
      <c r="J597" s="7">
        <v>120</v>
      </c>
      <c r="K597" s="7"/>
      <c r="L597" s="7"/>
      <c r="M597" s="7"/>
      <c r="N597" s="7"/>
      <c r="O597" s="7"/>
      <c r="P597" s="7"/>
      <c r="Q597" s="7"/>
      <c r="R597" s="7"/>
      <c r="S597" s="9">
        <f t="shared" si="94"/>
        <v>1330</v>
      </c>
      <c r="T597" s="10">
        <f t="shared" si="95"/>
        <v>0</v>
      </c>
      <c r="U597" s="10"/>
      <c r="V597">
        <f t="shared" ref="V597:V603" si="100">X597*0.1</f>
        <v>12</v>
      </c>
      <c r="W597">
        <f t="shared" ref="W597:W603" si="101">E597*S597*1.5</f>
        <v>0</v>
      </c>
      <c r="X597">
        <f t="shared" ref="X597:X603" si="102">J597+K597</f>
        <v>120</v>
      </c>
      <c r="Y597">
        <f t="shared" ref="Y597:Y603" si="103">X597*0.13</f>
        <v>15.6</v>
      </c>
    </row>
    <row r="598" spans="1:25">
      <c r="A598" s="6"/>
      <c r="B598" t="s">
        <v>27</v>
      </c>
      <c r="C598" s="7" t="s">
        <v>26</v>
      </c>
      <c r="D598" s="7"/>
      <c r="E598" s="7"/>
      <c r="F598" s="7">
        <f t="shared" si="99"/>
        <v>515</v>
      </c>
      <c r="G598" s="8"/>
      <c r="H598" s="7">
        <f t="shared" si="98"/>
        <v>0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9">
        <f t="shared" si="94"/>
        <v>515</v>
      </c>
      <c r="T598" s="10">
        <f t="shared" si="95"/>
        <v>0</v>
      </c>
      <c r="U598" s="10"/>
      <c r="V598">
        <f t="shared" si="100"/>
        <v>0</v>
      </c>
      <c r="W598">
        <f t="shared" si="101"/>
        <v>0</v>
      </c>
      <c r="X598">
        <f t="shared" si="102"/>
        <v>0</v>
      </c>
      <c r="Y598">
        <f t="shared" si="103"/>
        <v>0</v>
      </c>
    </row>
    <row r="599" spans="1:25">
      <c r="A599" s="6"/>
      <c r="B599" s="6" t="s">
        <v>28</v>
      </c>
      <c r="C599" s="7" t="s">
        <v>26</v>
      </c>
      <c r="D599" s="7"/>
      <c r="E599" s="7"/>
      <c r="F599" s="7">
        <f t="shared" si="99"/>
        <v>1644</v>
      </c>
      <c r="G599" s="8"/>
      <c r="H599" s="7">
        <f t="shared" si="98"/>
        <v>0</v>
      </c>
      <c r="I599" s="7"/>
      <c r="J599" s="7">
        <v>120</v>
      </c>
      <c r="K599" s="7"/>
      <c r="L599" s="7"/>
      <c r="M599" s="7"/>
      <c r="N599" s="7"/>
      <c r="O599" s="7"/>
      <c r="P599" s="7"/>
      <c r="Q599" s="7"/>
      <c r="R599" s="7"/>
      <c r="S599" s="9">
        <f t="shared" si="94"/>
        <v>1524</v>
      </c>
      <c r="T599" s="10">
        <f t="shared" si="95"/>
        <v>0</v>
      </c>
      <c r="U599" s="10"/>
      <c r="V599">
        <f t="shared" si="100"/>
        <v>12</v>
      </c>
      <c r="W599">
        <f t="shared" si="101"/>
        <v>0</v>
      </c>
      <c r="X599">
        <f t="shared" si="102"/>
        <v>120</v>
      </c>
      <c r="Y599">
        <f t="shared" si="103"/>
        <v>15.6</v>
      </c>
    </row>
    <row r="600" spans="1:25">
      <c r="A600" s="6"/>
      <c r="B600" s="6" t="s">
        <v>29</v>
      </c>
      <c r="C600" s="7" t="s">
        <v>26</v>
      </c>
      <c r="D600" s="7"/>
      <c r="E600" s="7"/>
      <c r="F600" s="7">
        <f t="shared" si="99"/>
        <v>187</v>
      </c>
      <c r="G600" s="8"/>
      <c r="H600" s="7">
        <f t="shared" si="98"/>
        <v>0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9">
        <f t="shared" si="94"/>
        <v>187</v>
      </c>
      <c r="T600" s="10">
        <f t="shared" si="95"/>
        <v>0</v>
      </c>
      <c r="U600" s="10"/>
      <c r="V600">
        <f t="shared" si="100"/>
        <v>0</v>
      </c>
      <c r="W600">
        <f t="shared" si="101"/>
        <v>0</v>
      </c>
      <c r="X600">
        <f t="shared" si="102"/>
        <v>0</v>
      </c>
      <c r="Y600">
        <f t="shared" si="103"/>
        <v>0</v>
      </c>
    </row>
    <row r="601" spans="1:25">
      <c r="A601" s="6"/>
      <c r="B601" s="6" t="s">
        <v>30</v>
      </c>
      <c r="C601" s="7" t="s">
        <v>26</v>
      </c>
      <c r="D601" s="7"/>
      <c r="E601" s="7"/>
      <c r="F601" s="7">
        <f t="shared" si="99"/>
        <v>14</v>
      </c>
      <c r="G601" s="8">
        <v>1972</v>
      </c>
      <c r="H601" s="7">
        <f t="shared" si="98"/>
        <v>0</v>
      </c>
      <c r="I601" s="7"/>
      <c r="J601" s="7"/>
      <c r="K601" s="7"/>
      <c r="L601" s="7"/>
      <c r="M601" s="7"/>
      <c r="N601" s="7"/>
      <c r="O601" s="7">
        <v>65</v>
      </c>
      <c r="P601" s="7"/>
      <c r="Q601" s="7"/>
      <c r="R601" s="7"/>
      <c r="S601" s="9">
        <f t="shared" si="94"/>
        <v>2051</v>
      </c>
      <c r="T601" s="10">
        <f t="shared" si="95"/>
        <v>0</v>
      </c>
      <c r="U601" s="10"/>
      <c r="V601">
        <f t="shared" si="100"/>
        <v>0</v>
      </c>
      <c r="W601">
        <f t="shared" si="101"/>
        <v>0</v>
      </c>
      <c r="X601">
        <f t="shared" si="102"/>
        <v>0</v>
      </c>
      <c r="Y601">
        <f t="shared" si="103"/>
        <v>0</v>
      </c>
    </row>
    <row r="602" spans="1:25">
      <c r="A602" s="6"/>
      <c r="B602" s="6" t="s">
        <v>31</v>
      </c>
      <c r="C602" s="7" t="s">
        <v>26</v>
      </c>
      <c r="D602" s="7"/>
      <c r="E602" s="7"/>
      <c r="F602" s="7">
        <f t="shared" si="99"/>
        <v>532</v>
      </c>
      <c r="G602" s="8">
        <v>624</v>
      </c>
      <c r="H602" s="7">
        <f t="shared" si="98"/>
        <v>0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9">
        <f t="shared" si="94"/>
        <v>1156</v>
      </c>
      <c r="T602" s="10">
        <f t="shared" si="95"/>
        <v>0</v>
      </c>
      <c r="U602" s="10"/>
      <c r="V602">
        <f t="shared" si="100"/>
        <v>0</v>
      </c>
      <c r="W602">
        <f t="shared" si="101"/>
        <v>0</v>
      </c>
      <c r="X602">
        <f t="shared" si="102"/>
        <v>0</v>
      </c>
      <c r="Y602">
        <f t="shared" si="103"/>
        <v>0</v>
      </c>
    </row>
    <row r="603" spans="1:25">
      <c r="A603" s="6"/>
      <c r="B603" s="6" t="s">
        <v>32</v>
      </c>
      <c r="C603" s="7" t="s">
        <v>26</v>
      </c>
      <c r="D603" s="7"/>
      <c r="E603" s="7"/>
      <c r="F603" s="7">
        <f t="shared" si="99"/>
        <v>196</v>
      </c>
      <c r="G603" s="8">
        <v>897</v>
      </c>
      <c r="H603" s="7">
        <f t="shared" si="98"/>
        <v>0</v>
      </c>
      <c r="I603" s="7"/>
      <c r="J603" s="7">
        <v>120</v>
      </c>
      <c r="K603" s="7"/>
      <c r="L603" s="7"/>
      <c r="M603" s="7">
        <v>2</v>
      </c>
      <c r="N603" s="7"/>
      <c r="O603" s="7"/>
      <c r="P603" s="7"/>
      <c r="Q603" s="7"/>
      <c r="R603" s="7"/>
      <c r="S603" s="9">
        <f t="shared" si="94"/>
        <v>975</v>
      </c>
      <c r="T603" s="10">
        <f t="shared" si="95"/>
        <v>0</v>
      </c>
      <c r="U603" s="10"/>
      <c r="V603">
        <f t="shared" si="100"/>
        <v>12</v>
      </c>
      <c r="W603">
        <f t="shared" si="101"/>
        <v>0</v>
      </c>
      <c r="X603">
        <f t="shared" si="102"/>
        <v>120</v>
      </c>
      <c r="Y603">
        <f t="shared" si="103"/>
        <v>15.6</v>
      </c>
    </row>
    <row r="604" spans="1:25">
      <c r="A604" s="6"/>
      <c r="B604" s="6" t="s">
        <v>33</v>
      </c>
      <c r="C604" s="7" t="s">
        <v>26</v>
      </c>
      <c r="D604" s="7"/>
      <c r="E604" s="7"/>
      <c r="F604" s="7">
        <f t="shared" si="99"/>
        <v>1144</v>
      </c>
      <c r="G604" s="8">
        <v>168</v>
      </c>
      <c r="H604" s="7">
        <f t="shared" si="98"/>
        <v>0</v>
      </c>
      <c r="I604" s="7"/>
      <c r="J604" s="7"/>
      <c r="K604" s="7"/>
      <c r="L604" s="7"/>
      <c r="M604" s="7">
        <v>23</v>
      </c>
      <c r="N604" s="7"/>
      <c r="O604" s="7"/>
      <c r="P604" s="7"/>
      <c r="Q604" s="7"/>
      <c r="R604" s="7"/>
      <c r="S604" s="9">
        <f t="shared" si="94"/>
        <v>1335</v>
      </c>
      <c r="T604" s="10">
        <f t="shared" si="95"/>
        <v>0</v>
      </c>
      <c r="U604" s="10"/>
    </row>
    <row r="605" spans="1:25">
      <c r="A605" s="6"/>
      <c r="B605" s="11" t="s">
        <v>34</v>
      </c>
      <c r="C605" s="7" t="s">
        <v>26</v>
      </c>
      <c r="D605" s="7"/>
      <c r="E605" s="7"/>
      <c r="F605" s="7">
        <f t="shared" si="99"/>
        <v>17</v>
      </c>
      <c r="G605" s="8"/>
      <c r="H605" s="7">
        <f t="shared" si="98"/>
        <v>0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9">
        <f t="shared" si="94"/>
        <v>17</v>
      </c>
      <c r="T605" s="10">
        <f t="shared" si="95"/>
        <v>0</v>
      </c>
      <c r="U605" s="10"/>
    </row>
    <row r="606" spans="1:25">
      <c r="A606" s="6"/>
      <c r="B606" s="11" t="s">
        <v>35</v>
      </c>
      <c r="C606" s="7" t="s">
        <v>26</v>
      </c>
      <c r="D606" s="7"/>
      <c r="E606" s="7"/>
      <c r="F606" s="7">
        <f t="shared" si="99"/>
        <v>120</v>
      </c>
      <c r="G606" s="8"/>
      <c r="H606" s="7">
        <f t="shared" si="98"/>
        <v>0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9">
        <f t="shared" si="94"/>
        <v>120</v>
      </c>
      <c r="T606" s="10">
        <f t="shared" si="95"/>
        <v>0</v>
      </c>
      <c r="U606" s="10"/>
    </row>
    <row r="607" spans="1:25">
      <c r="A607" s="6"/>
      <c r="B607" s="11" t="s">
        <v>36</v>
      </c>
      <c r="C607" s="7" t="s">
        <v>26</v>
      </c>
      <c r="D607" s="7"/>
      <c r="E607" s="7"/>
      <c r="F607" s="7">
        <f t="shared" si="99"/>
        <v>0</v>
      </c>
      <c r="G607" s="8"/>
      <c r="H607" s="7">
        <f t="shared" si="98"/>
        <v>0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9">
        <f t="shared" si="94"/>
        <v>0</v>
      </c>
      <c r="T607" s="10">
        <f t="shared" si="95"/>
        <v>0</v>
      </c>
      <c r="U607" s="10"/>
    </row>
    <row r="608" spans="1:25">
      <c r="A608" s="6"/>
      <c r="B608" s="11" t="s">
        <v>37</v>
      </c>
      <c r="C608" s="7" t="s">
        <v>26</v>
      </c>
      <c r="D608" s="7"/>
      <c r="E608" s="7"/>
      <c r="F608" s="7">
        <f t="shared" si="99"/>
        <v>24</v>
      </c>
      <c r="G608" s="8"/>
      <c r="H608" s="7">
        <f t="shared" si="98"/>
        <v>0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9">
        <f t="shared" si="94"/>
        <v>24</v>
      </c>
      <c r="T608" s="10">
        <f t="shared" si="95"/>
        <v>0</v>
      </c>
      <c r="U608" s="10"/>
    </row>
    <row r="609" spans="1:21">
      <c r="A609" s="6"/>
      <c r="B609" s="11" t="s">
        <v>38</v>
      </c>
      <c r="C609" s="7" t="s">
        <v>26</v>
      </c>
      <c r="D609" s="7"/>
      <c r="E609" s="7"/>
      <c r="F609" s="7">
        <f t="shared" ref="F609:F620" si="104">S524</f>
        <v>0</v>
      </c>
      <c r="G609" s="8"/>
      <c r="H609" s="7">
        <f t="shared" si="98"/>
        <v>0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9">
        <f t="shared" si="94"/>
        <v>0</v>
      </c>
      <c r="T609" s="10">
        <f t="shared" si="95"/>
        <v>0</v>
      </c>
      <c r="U609" s="10"/>
    </row>
    <row r="610" spans="1:21">
      <c r="A610" s="6"/>
      <c r="B610" s="11" t="s">
        <v>39</v>
      </c>
      <c r="C610" s="7" t="s">
        <v>26</v>
      </c>
      <c r="D610" s="7"/>
      <c r="E610" s="7"/>
      <c r="F610" s="7">
        <f t="shared" si="104"/>
        <v>0</v>
      </c>
      <c r="G610" s="8">
        <v>1700</v>
      </c>
      <c r="H610" s="7">
        <f t="shared" si="98"/>
        <v>0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9">
        <f t="shared" si="94"/>
        <v>1700</v>
      </c>
      <c r="T610" s="10">
        <f t="shared" si="95"/>
        <v>0</v>
      </c>
      <c r="U610" s="10"/>
    </row>
    <row r="611" spans="1:21">
      <c r="A611" s="6"/>
      <c r="B611" s="11" t="s">
        <v>40</v>
      </c>
      <c r="C611" s="7" t="s">
        <v>41</v>
      </c>
      <c r="D611" s="7"/>
      <c r="E611" s="7"/>
      <c r="F611" s="7">
        <f t="shared" si="104"/>
        <v>0</v>
      </c>
      <c r="G611" s="8"/>
      <c r="H611" s="7">
        <f t="shared" si="98"/>
        <v>0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9">
        <f t="shared" ref="S611:S674" si="105">F611+G611-J611-K611-L611+M611+O611-P611-R611</f>
        <v>0</v>
      </c>
      <c r="T611" s="10">
        <f t="shared" ref="T611:T674" si="106">H611+I611+N611+R611-Q611</f>
        <v>0</v>
      </c>
      <c r="U611" s="10"/>
    </row>
    <row r="612" spans="1:21">
      <c r="A612" s="6"/>
      <c r="B612" s="11" t="s">
        <v>42</v>
      </c>
      <c r="C612" s="7" t="s">
        <v>41</v>
      </c>
      <c r="D612" s="7"/>
      <c r="E612" s="7"/>
      <c r="F612" s="7">
        <f t="shared" si="104"/>
        <v>53</v>
      </c>
      <c r="G612" s="8"/>
      <c r="H612" s="7">
        <f t="shared" si="98"/>
        <v>0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9">
        <f t="shared" si="105"/>
        <v>53</v>
      </c>
      <c r="T612" s="10">
        <f t="shared" si="106"/>
        <v>0</v>
      </c>
      <c r="U612" s="10"/>
    </row>
    <row r="613" spans="1:21">
      <c r="A613" s="6"/>
      <c r="B613" s="11" t="s">
        <v>43</v>
      </c>
      <c r="C613" s="7" t="s">
        <v>41</v>
      </c>
      <c r="D613" s="7"/>
      <c r="E613" s="7"/>
      <c r="F613" s="7">
        <f t="shared" si="104"/>
        <v>0</v>
      </c>
      <c r="G613" s="8"/>
      <c r="H613" s="7">
        <f t="shared" si="98"/>
        <v>0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9">
        <f t="shared" si="105"/>
        <v>0</v>
      </c>
      <c r="T613" s="10">
        <f t="shared" si="106"/>
        <v>0</v>
      </c>
      <c r="U613" s="10"/>
    </row>
    <row r="614" spans="1:21">
      <c r="A614" s="6"/>
      <c r="B614" s="11" t="s">
        <v>44</v>
      </c>
      <c r="C614" s="7" t="s">
        <v>41</v>
      </c>
      <c r="D614" s="7"/>
      <c r="E614" s="7"/>
      <c r="F614" s="7">
        <f t="shared" si="104"/>
        <v>75</v>
      </c>
      <c r="G614" s="8"/>
      <c r="H614" s="7">
        <f t="shared" si="98"/>
        <v>0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9">
        <f t="shared" si="105"/>
        <v>75</v>
      </c>
      <c r="T614" s="10">
        <f t="shared" si="106"/>
        <v>0</v>
      </c>
      <c r="U614" s="10"/>
    </row>
    <row r="615" spans="1:21">
      <c r="A615" s="6"/>
      <c r="B615" s="11" t="s">
        <v>45</v>
      </c>
      <c r="C615" s="7" t="s">
        <v>41</v>
      </c>
      <c r="D615" s="7"/>
      <c r="E615" s="7"/>
      <c r="F615" s="7">
        <f t="shared" ref="F615:F640" si="107">S530</f>
        <v>0</v>
      </c>
      <c r="G615" s="8"/>
      <c r="H615" s="7">
        <f t="shared" si="98"/>
        <v>0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9">
        <f t="shared" si="105"/>
        <v>0</v>
      </c>
      <c r="T615" s="10">
        <f t="shared" si="106"/>
        <v>0</v>
      </c>
      <c r="U615" s="10"/>
    </row>
    <row r="616" spans="1:21">
      <c r="A616" s="6"/>
      <c r="B616" s="11" t="s">
        <v>46</v>
      </c>
      <c r="C616" s="7" t="s">
        <v>41</v>
      </c>
      <c r="D616" s="7"/>
      <c r="E616" s="7"/>
      <c r="F616" s="7">
        <f t="shared" si="107"/>
        <v>17</v>
      </c>
      <c r="G616" s="8"/>
      <c r="H616" s="7">
        <f t="shared" si="98"/>
        <v>0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9">
        <f t="shared" si="105"/>
        <v>17</v>
      </c>
      <c r="T616" s="10">
        <f t="shared" si="106"/>
        <v>0</v>
      </c>
      <c r="U616" s="10"/>
    </row>
    <row r="617" spans="1:21">
      <c r="A617" s="6"/>
      <c r="B617" s="11" t="s">
        <v>47</v>
      </c>
      <c r="C617" s="7" t="s">
        <v>26</v>
      </c>
      <c r="D617" s="7"/>
      <c r="E617" s="7"/>
      <c r="F617" s="7">
        <f t="shared" si="107"/>
        <v>0</v>
      </c>
      <c r="G617" s="8"/>
      <c r="H617" s="7">
        <f t="shared" si="98"/>
        <v>0</v>
      </c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9">
        <f t="shared" si="105"/>
        <v>0</v>
      </c>
      <c r="T617" s="10">
        <f t="shared" si="106"/>
        <v>0</v>
      </c>
      <c r="U617" s="10"/>
    </row>
    <row r="618" spans="1:21">
      <c r="A618" s="6"/>
      <c r="B618" s="11" t="s">
        <v>48</v>
      </c>
      <c r="C618" s="7" t="s">
        <v>26</v>
      </c>
      <c r="D618" s="7"/>
      <c r="E618" s="7"/>
      <c r="F618" s="7">
        <f t="shared" si="107"/>
        <v>42440</v>
      </c>
      <c r="G618" s="8"/>
      <c r="H618" s="7">
        <f t="shared" si="98"/>
        <v>0</v>
      </c>
      <c r="I618" s="7"/>
      <c r="J618" s="7">
        <v>1800</v>
      </c>
      <c r="K618" s="7">
        <v>120</v>
      </c>
      <c r="L618" s="7"/>
      <c r="M618" s="7">
        <v>77</v>
      </c>
      <c r="N618" s="7"/>
      <c r="O618" s="7"/>
      <c r="P618" s="7"/>
      <c r="Q618" s="7"/>
      <c r="R618" s="7"/>
      <c r="S618" s="9">
        <f t="shared" si="105"/>
        <v>40597</v>
      </c>
      <c r="T618" s="10">
        <f t="shared" si="106"/>
        <v>0</v>
      </c>
      <c r="U618" s="10" t="s">
        <v>111</v>
      </c>
    </row>
    <row r="619" spans="1:21">
      <c r="A619" s="6"/>
      <c r="B619" s="11" t="s">
        <v>50</v>
      </c>
      <c r="C619" s="7" t="s">
        <v>26</v>
      </c>
      <c r="D619" s="7"/>
      <c r="E619" s="7"/>
      <c r="F619" s="7">
        <f t="shared" si="107"/>
        <v>0</v>
      </c>
      <c r="G619" s="8"/>
      <c r="H619" s="7">
        <f t="shared" si="98"/>
        <v>0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9">
        <f t="shared" si="105"/>
        <v>0</v>
      </c>
      <c r="T619" s="10">
        <f t="shared" si="106"/>
        <v>0</v>
      </c>
      <c r="U619" s="10"/>
    </row>
    <row r="620" spans="1:21">
      <c r="A620" s="6"/>
      <c r="B620" s="11" t="s">
        <v>51</v>
      </c>
      <c r="C620" s="7" t="s">
        <v>26</v>
      </c>
      <c r="D620" s="7"/>
      <c r="E620" s="7"/>
      <c r="F620" s="7">
        <f t="shared" si="107"/>
        <v>0</v>
      </c>
      <c r="G620" s="8"/>
      <c r="H620" s="7">
        <f t="shared" si="98"/>
        <v>0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9">
        <f t="shared" si="105"/>
        <v>0</v>
      </c>
      <c r="T620" s="10">
        <f t="shared" si="106"/>
        <v>0</v>
      </c>
      <c r="U620" s="10"/>
    </row>
    <row r="621" spans="1:21">
      <c r="A621" s="6"/>
      <c r="B621" s="11" t="s">
        <v>52</v>
      </c>
      <c r="C621" s="7" t="s">
        <v>26</v>
      </c>
      <c r="D621" s="7"/>
      <c r="E621" s="7"/>
      <c r="F621" s="7">
        <f t="shared" si="107"/>
        <v>15406</v>
      </c>
      <c r="G621" s="8"/>
      <c r="H621" s="7">
        <f t="shared" si="98"/>
        <v>0</v>
      </c>
      <c r="I621" s="7"/>
      <c r="J621" s="7">
        <v>1680</v>
      </c>
      <c r="K621" s="7"/>
      <c r="L621" s="7"/>
      <c r="M621" s="7"/>
      <c r="N621" s="7"/>
      <c r="O621" s="7"/>
      <c r="P621" s="7"/>
      <c r="Q621" s="7"/>
      <c r="R621" s="7"/>
      <c r="S621" s="9">
        <f t="shared" si="105"/>
        <v>13726</v>
      </c>
      <c r="T621" s="10">
        <f t="shared" si="106"/>
        <v>0</v>
      </c>
      <c r="U621" s="10"/>
    </row>
    <row r="622" spans="1:21">
      <c r="A622" s="6"/>
      <c r="B622" s="11" t="s">
        <v>53</v>
      </c>
      <c r="C622" s="7" t="s">
        <v>54</v>
      </c>
      <c r="D622" s="7"/>
      <c r="E622" s="7"/>
      <c r="F622" s="7">
        <f t="shared" si="107"/>
        <v>0</v>
      </c>
      <c r="G622" s="8"/>
      <c r="H622" s="7">
        <f t="shared" si="98"/>
        <v>0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9">
        <f t="shared" si="105"/>
        <v>0</v>
      </c>
      <c r="T622" s="10">
        <f t="shared" si="106"/>
        <v>0</v>
      </c>
      <c r="U622" s="10"/>
    </row>
    <row r="623" spans="1:21">
      <c r="A623" s="6"/>
      <c r="B623" s="11" t="s">
        <v>55</v>
      </c>
      <c r="C623" s="7" t="s">
        <v>54</v>
      </c>
      <c r="D623" s="7"/>
      <c r="E623" s="7"/>
      <c r="F623" s="7">
        <f t="shared" si="107"/>
        <v>15</v>
      </c>
      <c r="G623" s="8"/>
      <c r="H623" s="7">
        <f t="shared" si="98"/>
        <v>0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9">
        <f t="shared" si="105"/>
        <v>15</v>
      </c>
      <c r="T623" s="10">
        <f t="shared" si="106"/>
        <v>0</v>
      </c>
      <c r="U623" s="10"/>
    </row>
    <row r="624" spans="1:21">
      <c r="A624" s="6"/>
      <c r="B624" s="11" t="s">
        <v>56</v>
      </c>
      <c r="C624" s="7" t="s">
        <v>54</v>
      </c>
      <c r="D624" s="7"/>
      <c r="E624" s="7"/>
      <c r="F624" s="7">
        <f t="shared" si="107"/>
        <v>831</v>
      </c>
      <c r="G624" s="8"/>
      <c r="H624" s="7">
        <f t="shared" si="98"/>
        <v>0</v>
      </c>
      <c r="I624" s="7"/>
      <c r="J624" s="7">
        <v>144</v>
      </c>
      <c r="K624" s="7"/>
      <c r="L624" s="7"/>
      <c r="M624" s="7"/>
      <c r="N624" s="7"/>
      <c r="O624" s="7"/>
      <c r="P624" s="7"/>
      <c r="Q624" s="7"/>
      <c r="R624" s="7"/>
      <c r="S624" s="9">
        <f t="shared" si="105"/>
        <v>687</v>
      </c>
      <c r="T624" s="10">
        <f t="shared" si="106"/>
        <v>0</v>
      </c>
      <c r="U624" s="10"/>
    </row>
    <row r="625" spans="1:21">
      <c r="A625" s="6"/>
      <c r="B625" s="11" t="s">
        <v>57</v>
      </c>
      <c r="C625" s="7" t="s">
        <v>54</v>
      </c>
      <c r="D625" s="7"/>
      <c r="E625" s="7"/>
      <c r="F625" s="7">
        <f t="shared" si="107"/>
        <v>477</v>
      </c>
      <c r="G625" s="8"/>
      <c r="H625" s="7">
        <f t="shared" si="98"/>
        <v>0</v>
      </c>
      <c r="I625" s="7"/>
      <c r="J625" s="7"/>
      <c r="K625" s="7"/>
      <c r="L625" s="7"/>
      <c r="M625" s="7">
        <v>12</v>
      </c>
      <c r="N625" s="7"/>
      <c r="O625" s="7"/>
      <c r="P625" s="7"/>
      <c r="Q625" s="7"/>
      <c r="R625" s="7"/>
      <c r="S625" s="9">
        <f t="shared" si="105"/>
        <v>489</v>
      </c>
      <c r="T625" s="10">
        <f t="shared" si="106"/>
        <v>0</v>
      </c>
      <c r="U625" s="10"/>
    </row>
    <row r="626" spans="1:21">
      <c r="A626" s="6"/>
      <c r="B626" s="11" t="s">
        <v>58</v>
      </c>
      <c r="C626" s="7" t="s">
        <v>54</v>
      </c>
      <c r="D626" s="7"/>
      <c r="E626" s="7"/>
      <c r="F626" s="7">
        <f t="shared" si="107"/>
        <v>0</v>
      </c>
      <c r="G626" s="8"/>
      <c r="H626" s="7">
        <f t="shared" si="98"/>
        <v>0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9">
        <f t="shared" si="105"/>
        <v>0</v>
      </c>
      <c r="T626" s="10">
        <f t="shared" si="106"/>
        <v>0</v>
      </c>
      <c r="U626" s="10"/>
    </row>
    <row r="627" spans="1:21">
      <c r="A627" s="6"/>
      <c r="B627" s="11" t="s">
        <v>59</v>
      </c>
      <c r="C627" s="7" t="s">
        <v>54</v>
      </c>
      <c r="D627" s="7"/>
      <c r="E627" s="7"/>
      <c r="F627" s="7">
        <f t="shared" si="107"/>
        <v>19</v>
      </c>
      <c r="G627" s="8"/>
      <c r="H627" s="7">
        <f t="shared" si="98"/>
        <v>0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9">
        <f t="shared" si="105"/>
        <v>19</v>
      </c>
      <c r="T627" s="10">
        <f t="shared" si="106"/>
        <v>0</v>
      </c>
      <c r="U627" s="10"/>
    </row>
    <row r="628" spans="1:21">
      <c r="A628" s="6"/>
      <c r="B628" s="11" t="s">
        <v>60</v>
      </c>
      <c r="C628" s="7" t="s">
        <v>61</v>
      </c>
      <c r="D628" s="7"/>
      <c r="E628" s="7"/>
      <c r="F628" s="7">
        <f t="shared" si="107"/>
        <v>0</v>
      </c>
      <c r="G628" s="8"/>
      <c r="H628" s="7">
        <f t="shared" si="98"/>
        <v>0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9">
        <f t="shared" si="105"/>
        <v>0</v>
      </c>
      <c r="T628" s="10">
        <f t="shared" si="106"/>
        <v>0</v>
      </c>
      <c r="U628" s="10"/>
    </row>
    <row r="629" spans="1:21">
      <c r="A629" s="6"/>
      <c r="B629" s="11" t="s">
        <v>62</v>
      </c>
      <c r="C629" s="7" t="s">
        <v>61</v>
      </c>
      <c r="D629" s="7"/>
      <c r="E629" s="7"/>
      <c r="F629" s="7">
        <f t="shared" si="107"/>
        <v>11</v>
      </c>
      <c r="G629" s="8"/>
      <c r="H629" s="7">
        <f t="shared" si="98"/>
        <v>0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9">
        <f t="shared" si="105"/>
        <v>11</v>
      </c>
      <c r="T629" s="10">
        <f t="shared" si="106"/>
        <v>0</v>
      </c>
      <c r="U629" s="10"/>
    </row>
    <row r="630" spans="1:21">
      <c r="A630" s="6"/>
      <c r="B630" s="10" t="s">
        <v>63</v>
      </c>
      <c r="C630" s="10" t="s">
        <v>41</v>
      </c>
      <c r="D630" s="7"/>
      <c r="E630" s="7"/>
      <c r="F630" s="7">
        <f t="shared" si="107"/>
        <v>0</v>
      </c>
      <c r="G630" s="8"/>
      <c r="H630" s="7">
        <f t="shared" si="98"/>
        <v>0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9">
        <f t="shared" si="105"/>
        <v>0</v>
      </c>
      <c r="T630" s="10">
        <f t="shared" si="106"/>
        <v>0</v>
      </c>
      <c r="U630" s="10"/>
    </row>
    <row r="631" spans="1:21">
      <c r="A631" s="6"/>
      <c r="B631" s="10" t="s">
        <v>64</v>
      </c>
      <c r="C631" s="10" t="s">
        <v>41</v>
      </c>
      <c r="D631" s="7"/>
      <c r="E631" s="7"/>
      <c r="F631" s="7">
        <f t="shared" si="107"/>
        <v>5</v>
      </c>
      <c r="G631" s="8"/>
      <c r="H631" s="7">
        <f t="shared" si="98"/>
        <v>0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9">
        <f t="shared" si="105"/>
        <v>5</v>
      </c>
      <c r="T631" s="10">
        <f t="shared" si="106"/>
        <v>0</v>
      </c>
      <c r="U631" s="10"/>
    </row>
    <row r="632" spans="1:21">
      <c r="A632" s="6"/>
      <c r="B632" s="11" t="s">
        <v>65</v>
      </c>
      <c r="C632" s="7" t="s">
        <v>26</v>
      </c>
      <c r="D632" s="7"/>
      <c r="E632" s="7"/>
      <c r="F632" s="7">
        <f t="shared" si="107"/>
        <v>0</v>
      </c>
      <c r="G632" s="8"/>
      <c r="H632" s="7">
        <f t="shared" si="98"/>
        <v>0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9">
        <f t="shared" si="105"/>
        <v>0</v>
      </c>
      <c r="T632" s="10">
        <f t="shared" si="106"/>
        <v>0</v>
      </c>
      <c r="U632" s="10"/>
    </row>
    <row r="633" spans="1:21">
      <c r="A633" s="6"/>
      <c r="B633" s="11" t="s">
        <v>66</v>
      </c>
      <c r="C633" s="7" t="s">
        <v>26</v>
      </c>
      <c r="D633" s="7"/>
      <c r="E633" s="7"/>
      <c r="F633" s="7">
        <f t="shared" si="107"/>
        <v>71</v>
      </c>
      <c r="G633" s="8"/>
      <c r="H633" s="7">
        <f t="shared" si="98"/>
        <v>0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9">
        <f t="shared" si="105"/>
        <v>71</v>
      </c>
      <c r="T633" s="10">
        <f t="shared" si="106"/>
        <v>0</v>
      </c>
      <c r="U633" s="10"/>
    </row>
    <row r="634" spans="1:21">
      <c r="A634" s="6"/>
      <c r="B634" s="11" t="s">
        <v>67</v>
      </c>
      <c r="C634" s="7" t="s">
        <v>26</v>
      </c>
      <c r="D634" s="7"/>
      <c r="E634" s="7"/>
      <c r="F634" s="7">
        <f t="shared" ref="F634:F650" si="108">S549</f>
        <v>0</v>
      </c>
      <c r="G634" s="8"/>
      <c r="H634" s="7">
        <f t="shared" si="98"/>
        <v>0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9">
        <f t="shared" si="105"/>
        <v>0</v>
      </c>
      <c r="T634" s="10">
        <f t="shared" si="106"/>
        <v>0</v>
      </c>
      <c r="U634" s="10"/>
    </row>
    <row r="635" spans="1:21">
      <c r="A635" s="6"/>
      <c r="B635" s="11" t="s">
        <v>68</v>
      </c>
      <c r="C635" s="7" t="s">
        <v>26</v>
      </c>
      <c r="D635" s="7"/>
      <c r="E635" s="7"/>
      <c r="F635" s="7">
        <f t="shared" si="108"/>
        <v>7</v>
      </c>
      <c r="G635" s="8"/>
      <c r="H635" s="7">
        <f t="shared" si="98"/>
        <v>0</v>
      </c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9">
        <f t="shared" si="105"/>
        <v>7</v>
      </c>
      <c r="T635" s="10">
        <f t="shared" si="106"/>
        <v>0</v>
      </c>
      <c r="U635" s="10"/>
    </row>
    <row r="636" spans="1:21">
      <c r="A636" s="6"/>
      <c r="B636" s="11" t="s">
        <v>69</v>
      </c>
      <c r="C636" s="7" t="s">
        <v>41</v>
      </c>
      <c r="D636" s="7"/>
      <c r="E636" s="7"/>
      <c r="F636" s="7">
        <f t="shared" si="108"/>
        <v>0</v>
      </c>
      <c r="G636" s="8"/>
      <c r="H636" s="7">
        <f t="shared" ref="H636:H695" si="109">T551</f>
        <v>0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9">
        <f t="shared" si="105"/>
        <v>0</v>
      </c>
      <c r="T636" s="10">
        <f t="shared" si="106"/>
        <v>0</v>
      </c>
      <c r="U636" s="10"/>
    </row>
    <row r="637" spans="1:21">
      <c r="A637" s="6"/>
      <c r="B637" s="11" t="s">
        <v>70</v>
      </c>
      <c r="C637" s="7" t="s">
        <v>41</v>
      </c>
      <c r="D637" s="7"/>
      <c r="E637" s="7"/>
      <c r="F637" s="7">
        <f t="shared" si="108"/>
        <v>13</v>
      </c>
      <c r="G637" s="8"/>
      <c r="H637" s="7">
        <f t="shared" si="109"/>
        <v>0</v>
      </c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9">
        <f t="shared" si="105"/>
        <v>13</v>
      </c>
      <c r="T637" s="10">
        <f t="shared" si="106"/>
        <v>0</v>
      </c>
      <c r="U637" s="10"/>
    </row>
    <row r="638" spans="1:21">
      <c r="A638" s="6"/>
      <c r="B638" s="11" t="s">
        <v>71</v>
      </c>
      <c r="C638" s="7" t="s">
        <v>61</v>
      </c>
      <c r="D638" s="7"/>
      <c r="E638" s="7"/>
      <c r="F638" s="7">
        <f t="shared" si="108"/>
        <v>0</v>
      </c>
      <c r="G638" s="8"/>
      <c r="H638" s="7">
        <f t="shared" si="109"/>
        <v>0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9">
        <f t="shared" si="105"/>
        <v>0</v>
      </c>
      <c r="T638" s="10">
        <f t="shared" si="106"/>
        <v>0</v>
      </c>
      <c r="U638" s="10"/>
    </row>
    <row r="639" spans="1:21">
      <c r="A639" s="6"/>
      <c r="B639" s="11" t="s">
        <v>72</v>
      </c>
      <c r="C639" s="7" t="s">
        <v>61</v>
      </c>
      <c r="D639" s="7"/>
      <c r="E639" s="7"/>
      <c r="F639" s="7">
        <f t="shared" si="108"/>
        <v>8</v>
      </c>
      <c r="G639" s="8"/>
      <c r="H639" s="7">
        <f t="shared" si="109"/>
        <v>0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9">
        <f t="shared" si="105"/>
        <v>8</v>
      </c>
      <c r="T639" s="10">
        <f t="shared" si="106"/>
        <v>0</v>
      </c>
      <c r="U639" s="10"/>
    </row>
    <row r="640" spans="1:21">
      <c r="A640" s="6"/>
      <c r="B640" s="11" t="s">
        <v>73</v>
      </c>
      <c r="C640" s="7" t="s">
        <v>26</v>
      </c>
      <c r="D640" s="7"/>
      <c r="E640" s="7"/>
      <c r="F640" s="7">
        <f t="shared" si="108"/>
        <v>0</v>
      </c>
      <c r="G640" s="8"/>
      <c r="H640" s="7">
        <f t="shared" si="109"/>
        <v>0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9">
        <f t="shared" si="105"/>
        <v>0</v>
      </c>
      <c r="T640" s="10">
        <f t="shared" si="106"/>
        <v>0</v>
      </c>
      <c r="U640" s="10"/>
    </row>
    <row r="641" spans="1:21">
      <c r="A641" s="6"/>
      <c r="B641" s="11" t="s">
        <v>74</v>
      </c>
      <c r="C641" s="7" t="s">
        <v>26</v>
      </c>
      <c r="D641" s="7"/>
      <c r="E641" s="7"/>
      <c r="F641" s="7">
        <f t="shared" si="108"/>
        <v>3</v>
      </c>
      <c r="G641" s="8"/>
      <c r="H641" s="7">
        <f t="shared" si="109"/>
        <v>0</v>
      </c>
      <c r="I641" s="7"/>
      <c r="J641" s="7"/>
      <c r="K641" s="7"/>
      <c r="L641" s="7"/>
      <c r="M641" s="7"/>
      <c r="N641" s="7"/>
      <c r="O641" s="7">
        <v>19</v>
      </c>
      <c r="P641" s="7"/>
      <c r="Q641" s="7"/>
      <c r="R641" s="7"/>
      <c r="S641" s="9">
        <f t="shared" si="105"/>
        <v>22</v>
      </c>
      <c r="T641" s="10">
        <f t="shared" si="106"/>
        <v>0</v>
      </c>
      <c r="U641" s="10"/>
    </row>
    <row r="642" spans="1:21">
      <c r="A642" s="6"/>
      <c r="B642" s="11" t="s">
        <v>75</v>
      </c>
      <c r="C642" s="7" t="s">
        <v>26</v>
      </c>
      <c r="D642" s="7"/>
      <c r="E642" s="7"/>
      <c r="F642" s="7">
        <f t="shared" si="108"/>
        <v>0</v>
      </c>
      <c r="G642" s="8"/>
      <c r="H642" s="7">
        <f t="shared" si="109"/>
        <v>0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9">
        <f t="shared" si="105"/>
        <v>0</v>
      </c>
      <c r="T642" s="10">
        <f t="shared" si="106"/>
        <v>0</v>
      </c>
      <c r="U642" s="10"/>
    </row>
    <row r="643" spans="1:21">
      <c r="A643" s="6"/>
      <c r="B643" s="11" t="s">
        <v>76</v>
      </c>
      <c r="C643" s="7" t="s">
        <v>26</v>
      </c>
      <c r="D643" s="7"/>
      <c r="E643" s="7"/>
      <c r="F643" s="7">
        <f t="shared" si="108"/>
        <v>16</v>
      </c>
      <c r="G643" s="8"/>
      <c r="H643" s="7">
        <f t="shared" si="109"/>
        <v>0</v>
      </c>
      <c r="I643" s="7"/>
      <c r="J643" s="7"/>
      <c r="K643" s="7"/>
      <c r="L643" s="7"/>
      <c r="M643" s="7">
        <v>4</v>
      </c>
      <c r="N643" s="7"/>
      <c r="O643" s="7"/>
      <c r="P643" s="7"/>
      <c r="Q643" s="7"/>
      <c r="R643" s="7"/>
      <c r="S643" s="9">
        <f t="shared" si="105"/>
        <v>20</v>
      </c>
      <c r="T643" s="10">
        <f t="shared" si="106"/>
        <v>0</v>
      </c>
      <c r="U643" s="10"/>
    </row>
    <row r="644" spans="1:21">
      <c r="A644" s="6"/>
      <c r="B644" s="11" t="s">
        <v>77</v>
      </c>
      <c r="C644" s="7" t="s">
        <v>61</v>
      </c>
      <c r="D644" s="7"/>
      <c r="E644" s="7"/>
      <c r="F644" s="7">
        <f t="shared" si="108"/>
        <v>0</v>
      </c>
      <c r="G644" s="8"/>
      <c r="H644" s="7">
        <f t="shared" si="109"/>
        <v>0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9">
        <f t="shared" si="105"/>
        <v>0</v>
      </c>
      <c r="T644" s="10">
        <f t="shared" si="106"/>
        <v>0</v>
      </c>
      <c r="U644" s="10"/>
    </row>
    <row r="645" spans="1:21">
      <c r="A645" s="6"/>
      <c r="B645" s="11" t="s">
        <v>78</v>
      </c>
      <c r="C645" s="7" t="s">
        <v>61</v>
      </c>
      <c r="D645" s="7"/>
      <c r="E645" s="7"/>
      <c r="F645" s="7">
        <f t="shared" si="108"/>
        <v>69</v>
      </c>
      <c r="G645" s="8"/>
      <c r="H645" s="7">
        <f t="shared" si="109"/>
        <v>0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9">
        <f t="shared" si="105"/>
        <v>69</v>
      </c>
      <c r="T645" s="10">
        <f t="shared" si="106"/>
        <v>0</v>
      </c>
      <c r="U645" s="10"/>
    </row>
    <row r="646" spans="1:21">
      <c r="A646" s="6"/>
      <c r="B646" s="11" t="s">
        <v>105</v>
      </c>
      <c r="C646" s="7" t="s">
        <v>26</v>
      </c>
      <c r="D646" s="7"/>
      <c r="E646" s="7"/>
      <c r="F646" s="7">
        <f t="shared" si="108"/>
        <v>294</v>
      </c>
      <c r="G646" s="8">
        <v>974</v>
      </c>
      <c r="H646" s="7">
        <f t="shared" si="109"/>
        <v>0</v>
      </c>
      <c r="I646" s="7"/>
      <c r="J646" s="7">
        <v>120</v>
      </c>
      <c r="K646" s="7"/>
      <c r="L646" s="7"/>
      <c r="M646" s="7">
        <v>1</v>
      </c>
      <c r="N646" s="7"/>
      <c r="O646" s="7"/>
      <c r="P646" s="7"/>
      <c r="Q646" s="7"/>
      <c r="R646" s="7"/>
      <c r="S646" s="9">
        <f t="shared" si="105"/>
        <v>1149</v>
      </c>
      <c r="T646" s="10">
        <f t="shared" si="106"/>
        <v>0</v>
      </c>
      <c r="U646" s="10"/>
    </row>
    <row r="647" spans="1:21">
      <c r="A647" s="6"/>
      <c r="B647" s="11" t="s">
        <v>80</v>
      </c>
      <c r="C647" s="7" t="s">
        <v>26</v>
      </c>
      <c r="D647" s="7"/>
      <c r="E647" s="7"/>
      <c r="F647" s="7">
        <f t="shared" si="108"/>
        <v>448</v>
      </c>
      <c r="G647" s="8">
        <v>96</v>
      </c>
      <c r="H647" s="7">
        <f t="shared" si="109"/>
        <v>0</v>
      </c>
      <c r="I647" s="7"/>
      <c r="J647" s="7"/>
      <c r="K647" s="7"/>
      <c r="L647" s="7"/>
      <c r="M647" s="7">
        <v>24</v>
      </c>
      <c r="N647" s="7"/>
      <c r="O647" s="7"/>
      <c r="P647" s="7"/>
      <c r="Q647" s="7"/>
      <c r="R647" s="7"/>
      <c r="S647" s="9">
        <f t="shared" si="105"/>
        <v>568</v>
      </c>
      <c r="T647" s="10">
        <f t="shared" si="106"/>
        <v>0</v>
      </c>
      <c r="U647" s="10"/>
    </row>
    <row r="648" spans="1:21">
      <c r="A648" s="6"/>
      <c r="B648" s="11" t="s">
        <v>81</v>
      </c>
      <c r="C648" s="7" t="s">
        <v>26</v>
      </c>
      <c r="D648" s="7"/>
      <c r="E648" s="7"/>
      <c r="F648" s="7">
        <f t="shared" ref="F648:F661" si="110">S563</f>
        <v>0</v>
      </c>
      <c r="G648" s="8"/>
      <c r="H648" s="7">
        <f t="shared" si="109"/>
        <v>0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9">
        <f t="shared" si="105"/>
        <v>0</v>
      </c>
      <c r="T648" s="10">
        <f t="shared" si="106"/>
        <v>0</v>
      </c>
      <c r="U648" s="10"/>
    </row>
    <row r="649" spans="1:21">
      <c r="A649" s="6"/>
      <c r="B649" s="11" t="s">
        <v>82</v>
      </c>
      <c r="C649" s="7" t="s">
        <v>26</v>
      </c>
      <c r="D649" s="7"/>
      <c r="E649" s="7"/>
      <c r="F649" s="7">
        <f t="shared" si="110"/>
        <v>14</v>
      </c>
      <c r="G649" s="8"/>
      <c r="H649" s="7">
        <f t="shared" si="109"/>
        <v>0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9">
        <f t="shared" si="105"/>
        <v>14</v>
      </c>
      <c r="T649" s="10">
        <f t="shared" si="106"/>
        <v>0</v>
      </c>
      <c r="U649" s="10"/>
    </row>
    <row r="650" spans="1:21">
      <c r="A650" s="6"/>
      <c r="B650" s="11" t="s">
        <v>83</v>
      </c>
      <c r="C650" s="7" t="s">
        <v>26</v>
      </c>
      <c r="D650" s="7"/>
      <c r="E650" s="7"/>
      <c r="F650" s="7">
        <f t="shared" si="110"/>
        <v>0</v>
      </c>
      <c r="G650" s="8"/>
      <c r="H650" s="7">
        <f t="shared" si="109"/>
        <v>0</v>
      </c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9">
        <f t="shared" si="105"/>
        <v>0</v>
      </c>
      <c r="T650" s="10">
        <f t="shared" si="106"/>
        <v>0</v>
      </c>
      <c r="U650" s="10"/>
    </row>
    <row r="651" spans="1:21">
      <c r="A651" s="6"/>
      <c r="B651" s="11" t="s">
        <v>84</v>
      </c>
      <c r="C651" s="7" t="s">
        <v>26</v>
      </c>
      <c r="D651" s="7"/>
      <c r="E651" s="7"/>
      <c r="F651" s="7">
        <f t="shared" si="110"/>
        <v>28</v>
      </c>
      <c r="G651" s="8"/>
      <c r="H651" s="7">
        <f t="shared" si="109"/>
        <v>0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9">
        <f t="shared" si="105"/>
        <v>28</v>
      </c>
      <c r="T651" s="10">
        <f t="shared" si="106"/>
        <v>0</v>
      </c>
      <c r="U651" s="10"/>
    </row>
    <row r="652" spans="1:21">
      <c r="A652" s="6"/>
      <c r="B652" s="11" t="s">
        <v>85</v>
      </c>
      <c r="C652" s="7" t="s">
        <v>61</v>
      </c>
      <c r="D652" s="7"/>
      <c r="E652" s="7"/>
      <c r="F652" s="7">
        <f t="shared" si="110"/>
        <v>0</v>
      </c>
      <c r="G652" s="8"/>
      <c r="H652" s="7">
        <f t="shared" si="109"/>
        <v>0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9">
        <f t="shared" si="105"/>
        <v>0</v>
      </c>
      <c r="T652" s="10">
        <f t="shared" si="106"/>
        <v>0</v>
      </c>
      <c r="U652" s="10"/>
    </row>
    <row r="653" spans="1:21">
      <c r="A653" s="6"/>
      <c r="B653" s="11" t="s">
        <v>86</v>
      </c>
      <c r="C653" s="7" t="s">
        <v>61</v>
      </c>
      <c r="D653" s="7"/>
      <c r="E653" s="7"/>
      <c r="F653" s="7">
        <f t="shared" si="110"/>
        <v>10</v>
      </c>
      <c r="G653" s="8"/>
      <c r="H653" s="7">
        <f t="shared" si="109"/>
        <v>0</v>
      </c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9">
        <f t="shared" si="105"/>
        <v>10</v>
      </c>
      <c r="T653" s="10">
        <f t="shared" si="106"/>
        <v>0</v>
      </c>
      <c r="U653" s="10"/>
    </row>
    <row r="654" spans="1:21">
      <c r="A654" s="6"/>
      <c r="B654" s="11" t="s">
        <v>87</v>
      </c>
      <c r="C654" s="7" t="s">
        <v>26</v>
      </c>
      <c r="D654" s="7"/>
      <c r="E654" s="7"/>
      <c r="F654" s="7">
        <f t="shared" si="110"/>
        <v>0</v>
      </c>
      <c r="G654" s="8"/>
      <c r="H654" s="7">
        <f t="shared" si="109"/>
        <v>0</v>
      </c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9">
        <f t="shared" si="105"/>
        <v>0</v>
      </c>
      <c r="T654" s="10">
        <f t="shared" si="106"/>
        <v>0</v>
      </c>
      <c r="U654" s="10"/>
    </row>
    <row r="655" spans="1:21">
      <c r="A655" s="6"/>
      <c r="B655" s="11" t="s">
        <v>88</v>
      </c>
      <c r="C655" s="10"/>
      <c r="D655" s="7"/>
      <c r="E655" s="7"/>
      <c r="F655" s="7">
        <f t="shared" si="110"/>
        <v>0</v>
      </c>
      <c r="G655" s="8"/>
      <c r="H655" s="7">
        <f t="shared" si="109"/>
        <v>0</v>
      </c>
      <c r="I655" s="7"/>
      <c r="J655" s="7"/>
      <c r="K655" s="7"/>
      <c r="L655" s="7"/>
      <c r="M655" s="7"/>
      <c r="N655" s="7"/>
      <c r="O655" s="7">
        <v>65</v>
      </c>
      <c r="P655" s="7"/>
      <c r="Q655" s="7"/>
      <c r="R655" s="7"/>
      <c r="S655" s="9">
        <f t="shared" si="105"/>
        <v>65</v>
      </c>
      <c r="T655" s="10">
        <f t="shared" si="106"/>
        <v>0</v>
      </c>
      <c r="U655" s="10"/>
    </row>
    <row r="656" spans="1:21">
      <c r="A656" s="6"/>
      <c r="B656" s="11" t="s">
        <v>89</v>
      </c>
      <c r="C656" s="7" t="s">
        <v>26</v>
      </c>
      <c r="D656" s="7"/>
      <c r="E656" s="7"/>
      <c r="F656" s="7">
        <f t="shared" si="110"/>
        <v>858</v>
      </c>
      <c r="G656" s="8"/>
      <c r="H656" s="7">
        <f t="shared" si="109"/>
        <v>0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9">
        <f t="shared" si="105"/>
        <v>858</v>
      </c>
      <c r="T656" s="10">
        <f t="shared" si="106"/>
        <v>0</v>
      </c>
      <c r="U656" s="10"/>
    </row>
    <row r="657" spans="1:21">
      <c r="A657" s="6"/>
      <c r="B657" s="11" t="s">
        <v>90</v>
      </c>
      <c r="C657" s="7" t="s">
        <v>26</v>
      </c>
      <c r="D657" s="7"/>
      <c r="E657" s="7"/>
      <c r="F657" s="7">
        <f t="shared" si="110"/>
        <v>0</v>
      </c>
      <c r="G657" s="8"/>
      <c r="H657" s="7">
        <f t="shared" si="109"/>
        <v>0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9">
        <f t="shared" si="105"/>
        <v>0</v>
      </c>
      <c r="T657" s="10">
        <f t="shared" si="106"/>
        <v>0</v>
      </c>
      <c r="U657" s="10"/>
    </row>
    <row r="658" spans="1:21">
      <c r="A658" s="6"/>
      <c r="B658" s="11" t="s">
        <v>91</v>
      </c>
      <c r="C658" s="7" t="s">
        <v>26</v>
      </c>
      <c r="D658" s="7"/>
      <c r="E658" s="7"/>
      <c r="F658" s="7">
        <f t="shared" si="110"/>
        <v>138</v>
      </c>
      <c r="G658" s="8"/>
      <c r="H658" s="7">
        <f t="shared" si="109"/>
        <v>0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9">
        <f t="shared" si="105"/>
        <v>138</v>
      </c>
      <c r="T658" s="10">
        <f t="shared" si="106"/>
        <v>0</v>
      </c>
      <c r="U658" s="10"/>
    </row>
    <row r="659" spans="1:21">
      <c r="A659" s="6"/>
      <c r="B659" s="12" t="s">
        <v>92</v>
      </c>
      <c r="C659" s="13" t="s">
        <v>26</v>
      </c>
      <c r="D659" s="7"/>
      <c r="E659" s="7"/>
      <c r="F659" s="7">
        <f t="shared" si="110"/>
        <v>348</v>
      </c>
      <c r="G659" s="8"/>
      <c r="H659" s="7">
        <f t="shared" si="109"/>
        <v>0</v>
      </c>
      <c r="I659" s="7"/>
      <c r="J659" s="7">
        <v>288</v>
      </c>
      <c r="K659" s="7"/>
      <c r="L659" s="7"/>
      <c r="M659" s="7"/>
      <c r="N659" s="7"/>
      <c r="O659" s="7"/>
      <c r="P659" s="7"/>
      <c r="Q659" s="7"/>
      <c r="R659" s="7"/>
      <c r="S659" s="9">
        <f t="shared" si="105"/>
        <v>60</v>
      </c>
      <c r="T659" s="10">
        <f t="shared" si="106"/>
        <v>0</v>
      </c>
      <c r="U659" s="10"/>
    </row>
    <row r="660" spans="1:21">
      <c r="A660" s="6"/>
      <c r="B660" s="12" t="s">
        <v>93</v>
      </c>
      <c r="C660" s="13" t="s">
        <v>26</v>
      </c>
      <c r="D660" s="7"/>
      <c r="E660" s="7"/>
      <c r="F660" s="7">
        <f t="shared" si="110"/>
        <v>3315</v>
      </c>
      <c r="G660" s="8"/>
      <c r="H660" s="7">
        <f t="shared" si="109"/>
        <v>0</v>
      </c>
      <c r="I660" s="7"/>
      <c r="J660" s="7"/>
      <c r="K660" s="7"/>
      <c r="L660" s="7"/>
      <c r="M660" s="7">
        <v>22</v>
      </c>
      <c r="N660" s="7"/>
      <c r="O660" s="7"/>
      <c r="P660" s="7"/>
      <c r="Q660" s="7"/>
      <c r="R660" s="7"/>
      <c r="S660" s="9">
        <f t="shared" si="105"/>
        <v>3337</v>
      </c>
      <c r="T660" s="10">
        <f t="shared" si="106"/>
        <v>0</v>
      </c>
      <c r="U660" s="10"/>
    </row>
    <row r="661" spans="1:21">
      <c r="A661" s="6"/>
      <c r="B661" s="11" t="s">
        <v>94</v>
      </c>
      <c r="C661" s="7" t="s">
        <v>41</v>
      </c>
      <c r="D661" s="7"/>
      <c r="E661" s="7"/>
      <c r="F661" s="7">
        <f t="shared" ref="F661:F681" si="111">S576</f>
        <v>0</v>
      </c>
      <c r="G661" s="8"/>
      <c r="H661" s="7">
        <f t="shared" si="109"/>
        <v>0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9">
        <f t="shared" si="105"/>
        <v>0</v>
      </c>
      <c r="T661" s="10">
        <f t="shared" si="106"/>
        <v>0</v>
      </c>
      <c r="U661" s="10"/>
    </row>
    <row r="662" spans="1:21">
      <c r="A662" s="6"/>
      <c r="B662" s="11" t="s">
        <v>95</v>
      </c>
      <c r="C662" s="7" t="s">
        <v>41</v>
      </c>
      <c r="D662" s="7"/>
      <c r="E662" s="7"/>
      <c r="F662" s="7">
        <f t="shared" si="111"/>
        <v>39</v>
      </c>
      <c r="G662" s="8"/>
      <c r="H662" s="7">
        <f t="shared" si="109"/>
        <v>0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9">
        <f t="shared" si="105"/>
        <v>39</v>
      </c>
      <c r="T662" s="10">
        <f t="shared" si="106"/>
        <v>0</v>
      </c>
      <c r="U662" s="10"/>
    </row>
    <row r="663" spans="1:21">
      <c r="A663" s="6"/>
      <c r="B663" s="11" t="s">
        <v>96</v>
      </c>
      <c r="C663" s="7" t="s">
        <v>41</v>
      </c>
      <c r="D663" s="7"/>
      <c r="E663" s="7"/>
      <c r="F663" s="7">
        <f t="shared" si="111"/>
        <v>0</v>
      </c>
      <c r="G663" s="8"/>
      <c r="H663" s="7">
        <f t="shared" si="109"/>
        <v>0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9">
        <f t="shared" si="105"/>
        <v>0</v>
      </c>
      <c r="T663" s="10">
        <f t="shared" si="106"/>
        <v>0</v>
      </c>
      <c r="U663" s="10"/>
    </row>
    <row r="664" spans="1:21">
      <c r="A664" s="6"/>
      <c r="B664" s="11" t="s">
        <v>97</v>
      </c>
      <c r="C664" s="7" t="s">
        <v>41</v>
      </c>
      <c r="D664" s="7"/>
      <c r="E664" s="7"/>
      <c r="F664" s="7">
        <f t="shared" si="111"/>
        <v>54</v>
      </c>
      <c r="G664" s="8"/>
      <c r="H664" s="7">
        <f t="shared" si="109"/>
        <v>0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9">
        <f t="shared" si="105"/>
        <v>54</v>
      </c>
      <c r="T664" s="10">
        <f t="shared" si="106"/>
        <v>0</v>
      </c>
      <c r="U664" s="10"/>
    </row>
    <row r="665" spans="1:21">
      <c r="A665" s="6"/>
      <c r="B665" s="11" t="s">
        <v>98</v>
      </c>
      <c r="C665" s="7" t="s">
        <v>26</v>
      </c>
      <c r="D665" s="7"/>
      <c r="E665" s="7"/>
      <c r="F665" s="7">
        <f t="shared" si="111"/>
        <v>841</v>
      </c>
      <c r="G665" s="8"/>
      <c r="H665" s="7">
        <f t="shared" si="109"/>
        <v>0</v>
      </c>
      <c r="I665" s="7"/>
      <c r="J665" s="7">
        <v>89</v>
      </c>
      <c r="K665" s="7"/>
      <c r="L665" s="7"/>
      <c r="M665" s="7"/>
      <c r="N665" s="7"/>
      <c r="O665" s="7"/>
      <c r="P665" s="7"/>
      <c r="Q665" s="7"/>
      <c r="R665" s="7"/>
      <c r="S665" s="9">
        <f t="shared" si="105"/>
        <v>752</v>
      </c>
      <c r="T665" s="10">
        <f t="shared" si="106"/>
        <v>0</v>
      </c>
      <c r="U665" s="10"/>
    </row>
    <row r="666" spans="1:21">
      <c r="A666" s="6"/>
      <c r="B666" s="11" t="s">
        <v>99</v>
      </c>
      <c r="C666" s="7" t="s">
        <v>26</v>
      </c>
      <c r="D666" s="7"/>
      <c r="E666" s="7"/>
      <c r="F666" s="7">
        <f t="shared" si="111"/>
        <v>1064</v>
      </c>
      <c r="G666" s="8"/>
      <c r="H666" s="7">
        <f t="shared" si="109"/>
        <v>0</v>
      </c>
      <c r="I666" s="7"/>
      <c r="J666" s="7"/>
      <c r="K666" s="7"/>
      <c r="L666" s="7"/>
      <c r="M666" s="7">
        <v>20</v>
      </c>
      <c r="N666" s="7"/>
      <c r="O666" s="7"/>
      <c r="P666" s="7"/>
      <c r="Q666" s="7"/>
      <c r="R666" s="7"/>
      <c r="S666" s="9">
        <f t="shared" si="105"/>
        <v>1084</v>
      </c>
      <c r="T666" s="10">
        <f t="shared" si="106"/>
        <v>0</v>
      </c>
      <c r="U666" s="10"/>
    </row>
    <row r="667" spans="1:21">
      <c r="A667" s="6"/>
      <c r="B667" s="11" t="s">
        <v>100</v>
      </c>
      <c r="C667" s="7" t="s">
        <v>26</v>
      </c>
      <c r="D667" s="7"/>
      <c r="E667" s="7"/>
      <c r="F667" s="7">
        <f t="shared" si="111"/>
        <v>410</v>
      </c>
      <c r="G667" s="8"/>
      <c r="H667" s="7">
        <f t="shared" si="109"/>
        <v>0</v>
      </c>
      <c r="I667" s="7"/>
      <c r="J667" s="7">
        <v>100</v>
      </c>
      <c r="K667" s="7"/>
      <c r="L667" s="7"/>
      <c r="M667" s="7"/>
      <c r="N667" s="7"/>
      <c r="O667" s="7"/>
      <c r="P667" s="7"/>
      <c r="Q667" s="7"/>
      <c r="R667" s="7"/>
      <c r="S667" s="9">
        <f t="shared" si="105"/>
        <v>310</v>
      </c>
      <c r="T667" s="10">
        <f t="shared" si="106"/>
        <v>0</v>
      </c>
      <c r="U667" s="10"/>
    </row>
    <row r="668" spans="1:21">
      <c r="A668" s="6"/>
      <c r="B668" s="11" t="s">
        <v>101</v>
      </c>
      <c r="C668" s="7" t="s">
        <v>26</v>
      </c>
      <c r="D668" s="7"/>
      <c r="E668" s="7"/>
      <c r="F668" s="7">
        <f t="shared" si="111"/>
        <v>261</v>
      </c>
      <c r="G668" s="8"/>
      <c r="H668" s="7">
        <f t="shared" si="109"/>
        <v>0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9">
        <f t="shared" si="105"/>
        <v>261</v>
      </c>
      <c r="T668" s="10">
        <f t="shared" si="106"/>
        <v>0</v>
      </c>
      <c r="U668" s="10"/>
    </row>
    <row r="669" spans="1:21">
      <c r="A669" s="6"/>
      <c r="B669" s="11" t="s">
        <v>102</v>
      </c>
      <c r="C669" s="7" t="s">
        <v>26</v>
      </c>
      <c r="D669" s="7"/>
      <c r="E669" s="7"/>
      <c r="F669" s="7">
        <f t="shared" si="111"/>
        <v>982</v>
      </c>
      <c r="G669" s="8"/>
      <c r="H669" s="7">
        <f t="shared" si="109"/>
        <v>0</v>
      </c>
      <c r="I669" s="7"/>
      <c r="J669" s="7">
        <v>54</v>
      </c>
      <c r="K669" s="7"/>
      <c r="L669" s="7"/>
      <c r="M669" s="7"/>
      <c r="N669" s="7"/>
      <c r="O669" s="7"/>
      <c r="P669" s="7"/>
      <c r="Q669" s="7"/>
      <c r="R669" s="7"/>
      <c r="S669" s="9">
        <f t="shared" si="105"/>
        <v>928</v>
      </c>
      <c r="T669" s="10">
        <f t="shared" si="106"/>
        <v>0</v>
      </c>
      <c r="U669" s="10"/>
    </row>
    <row r="670" spans="1:21">
      <c r="A670" s="6"/>
      <c r="B670" s="11" t="s">
        <v>103</v>
      </c>
      <c r="C670" s="7" t="s">
        <v>26</v>
      </c>
      <c r="D670" s="7"/>
      <c r="E670" s="7"/>
      <c r="F670" s="7">
        <f t="shared" si="111"/>
        <v>257</v>
      </c>
      <c r="G670" s="8"/>
      <c r="H670" s="7">
        <f t="shared" si="109"/>
        <v>0</v>
      </c>
      <c r="I670" s="7"/>
      <c r="J670" s="7"/>
      <c r="K670" s="7"/>
      <c r="L670" s="7"/>
      <c r="M670" s="7">
        <v>23</v>
      </c>
      <c r="N670" s="7"/>
      <c r="O670" s="7"/>
      <c r="P670" s="7"/>
      <c r="Q670" s="7"/>
      <c r="R670" s="7"/>
      <c r="S670" s="9">
        <f t="shared" si="105"/>
        <v>280</v>
      </c>
      <c r="T670" s="10">
        <f t="shared" si="106"/>
        <v>0</v>
      </c>
      <c r="U670" s="10"/>
    </row>
    <row r="671" spans="1:21">
      <c r="A671" s="6"/>
      <c r="B671" s="11" t="s">
        <v>112</v>
      </c>
      <c r="C671" s="7" t="s">
        <v>113</v>
      </c>
      <c r="D671" s="7"/>
      <c r="E671" s="7"/>
      <c r="F671" s="7">
        <f t="shared" si="111"/>
        <v>0</v>
      </c>
      <c r="G671" s="8">
        <v>1483</v>
      </c>
      <c r="H671" s="7">
        <f t="shared" si="109"/>
        <v>0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9">
        <f t="shared" si="105"/>
        <v>1483</v>
      </c>
      <c r="T671" s="10">
        <f t="shared" si="106"/>
        <v>0</v>
      </c>
      <c r="U671" s="10"/>
    </row>
    <row r="672" spans="1:21">
      <c r="A672" s="6"/>
      <c r="B672" s="11"/>
      <c r="C672" s="7"/>
      <c r="D672" s="7"/>
      <c r="E672" s="7"/>
      <c r="F672" s="7">
        <f t="shared" si="111"/>
        <v>0</v>
      </c>
      <c r="G672" s="8"/>
      <c r="H672" s="7">
        <f t="shared" si="109"/>
        <v>0</v>
      </c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9">
        <f t="shared" si="105"/>
        <v>0</v>
      </c>
      <c r="T672" s="10">
        <f t="shared" si="106"/>
        <v>0</v>
      </c>
      <c r="U672" s="10"/>
    </row>
    <row r="673" spans="1:25">
      <c r="A673" s="6"/>
      <c r="B673" s="11"/>
      <c r="C673" s="7"/>
      <c r="D673" s="7"/>
      <c r="E673" s="7"/>
      <c r="F673" s="7">
        <f t="shared" si="111"/>
        <v>0</v>
      </c>
      <c r="G673" s="8"/>
      <c r="H673" s="7">
        <f t="shared" si="109"/>
        <v>0</v>
      </c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9">
        <f t="shared" si="105"/>
        <v>0</v>
      </c>
      <c r="T673" s="10">
        <f t="shared" si="106"/>
        <v>0</v>
      </c>
      <c r="U673" s="10"/>
    </row>
    <row r="674" spans="1:25">
      <c r="A674" s="6"/>
      <c r="B674" s="11"/>
      <c r="C674" s="7"/>
      <c r="D674" s="7"/>
      <c r="E674" s="7"/>
      <c r="F674" s="7">
        <f t="shared" si="111"/>
        <v>0</v>
      </c>
      <c r="G674" s="8"/>
      <c r="H674" s="7">
        <f t="shared" si="109"/>
        <v>0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9">
        <f t="shared" si="105"/>
        <v>0</v>
      </c>
      <c r="T674" s="10">
        <f t="shared" si="106"/>
        <v>0</v>
      </c>
      <c r="U674" s="10"/>
    </row>
    <row r="675" spans="1:25">
      <c r="A675" s="6"/>
      <c r="B675" s="11"/>
      <c r="C675" s="7"/>
      <c r="D675" s="7"/>
      <c r="E675" s="7"/>
      <c r="F675" s="7">
        <f t="shared" si="111"/>
        <v>0</v>
      </c>
      <c r="G675" s="8"/>
      <c r="H675" s="7">
        <f t="shared" si="109"/>
        <v>0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9">
        <f t="shared" ref="S675:S691" si="112">F675+G675-J675-K675-L675+M675+O675-P675-R675</f>
        <v>0</v>
      </c>
      <c r="T675" s="10">
        <f t="shared" ref="T675:T691" si="113">H675+I675+N675+R675-Q675</f>
        <v>0</v>
      </c>
      <c r="U675" s="10"/>
    </row>
    <row r="676" spans="1:25">
      <c r="A676" s="6"/>
      <c r="B676" s="11"/>
      <c r="C676" s="7"/>
      <c r="D676" s="7"/>
      <c r="E676" s="7"/>
      <c r="F676" s="7">
        <f t="shared" si="111"/>
        <v>0</v>
      </c>
      <c r="G676" s="8"/>
      <c r="H676" s="7">
        <f t="shared" si="109"/>
        <v>0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9">
        <f t="shared" si="112"/>
        <v>0</v>
      </c>
      <c r="T676" s="10">
        <f t="shared" si="113"/>
        <v>0</v>
      </c>
      <c r="U676" s="10"/>
    </row>
    <row r="677" spans="1:25">
      <c r="A677" s="6"/>
      <c r="B677" s="11"/>
      <c r="C677" s="7"/>
      <c r="D677" s="7"/>
      <c r="E677" s="7"/>
      <c r="F677" s="7">
        <f t="shared" si="111"/>
        <v>0</v>
      </c>
      <c r="G677" s="8"/>
      <c r="H677" s="7">
        <f t="shared" si="109"/>
        <v>0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9">
        <f t="shared" si="112"/>
        <v>0</v>
      </c>
      <c r="T677" s="10">
        <f t="shared" si="113"/>
        <v>0</v>
      </c>
      <c r="U677" s="10"/>
    </row>
    <row r="678" spans="1:25">
      <c r="A678" s="6"/>
      <c r="B678" s="11"/>
      <c r="C678" s="7"/>
      <c r="D678" s="7"/>
      <c r="E678" s="7"/>
      <c r="F678" s="7">
        <f t="shared" si="111"/>
        <v>0</v>
      </c>
      <c r="G678" s="8"/>
      <c r="H678" s="7">
        <f t="shared" si="109"/>
        <v>0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9">
        <f t="shared" si="112"/>
        <v>0</v>
      </c>
      <c r="T678" s="10">
        <f t="shared" si="113"/>
        <v>0</v>
      </c>
      <c r="U678" s="10"/>
    </row>
    <row r="679" spans="1:25">
      <c r="A679" s="6"/>
      <c r="B679" s="11"/>
      <c r="C679" s="7"/>
      <c r="D679" s="7"/>
      <c r="E679" s="7"/>
      <c r="F679" s="7">
        <f t="shared" si="111"/>
        <v>0</v>
      </c>
      <c r="G679" s="8"/>
      <c r="H679" s="7">
        <f t="shared" si="109"/>
        <v>0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9">
        <f t="shared" si="112"/>
        <v>0</v>
      </c>
      <c r="T679" s="10">
        <f t="shared" si="113"/>
        <v>0</v>
      </c>
      <c r="U679" s="10"/>
    </row>
    <row r="680" spans="1:25">
      <c r="A680" s="6"/>
      <c r="B680" s="11"/>
      <c r="C680" s="7"/>
      <c r="D680" s="7"/>
      <c r="E680" s="7"/>
      <c r="F680" s="7">
        <f t="shared" si="111"/>
        <v>0</v>
      </c>
      <c r="G680" s="8"/>
      <c r="H680" s="7">
        <f t="shared" si="109"/>
        <v>0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9">
        <f t="shared" si="112"/>
        <v>0</v>
      </c>
      <c r="T680" s="10">
        <f t="shared" si="113"/>
        <v>0</v>
      </c>
      <c r="U680" s="10"/>
    </row>
    <row r="681" spans="1:25">
      <c r="A681" s="6"/>
      <c r="B681" s="11"/>
      <c r="C681" s="7"/>
      <c r="D681" s="7"/>
      <c r="E681" s="7"/>
      <c r="F681" s="7">
        <f t="shared" si="111"/>
        <v>0</v>
      </c>
      <c r="G681" s="8"/>
      <c r="H681" s="7">
        <f t="shared" si="109"/>
        <v>0</v>
      </c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9">
        <f t="shared" si="112"/>
        <v>0</v>
      </c>
      <c r="T681" s="10">
        <f t="shared" si="113"/>
        <v>0</v>
      </c>
      <c r="U681" s="10"/>
      <c r="V681">
        <f>X681*0.1</f>
        <v>0</v>
      </c>
      <c r="W681">
        <f>E681*S681*1.5</f>
        <v>0</v>
      </c>
      <c r="X681">
        <f>J681+K681</f>
        <v>0</v>
      </c>
      <c r="Y681">
        <f>X681*0.13</f>
        <v>0</v>
      </c>
    </row>
    <row r="682" spans="1:25">
      <c r="A682" s="6">
        <v>46151</v>
      </c>
      <c r="B682" t="s">
        <v>25</v>
      </c>
      <c r="C682" s="7" t="s">
        <v>26</v>
      </c>
      <c r="D682" s="7"/>
      <c r="E682" s="7"/>
      <c r="F682" s="7">
        <f t="shared" ref="F681:F693" si="114">S597</f>
        <v>1330</v>
      </c>
      <c r="G682" s="8"/>
      <c r="H682" s="7">
        <f t="shared" si="109"/>
        <v>0</v>
      </c>
      <c r="I682" s="7"/>
      <c r="J682" s="7">
        <v>60</v>
      </c>
      <c r="K682" s="7"/>
      <c r="L682" s="7"/>
      <c r="M682" s="7"/>
      <c r="N682" s="7"/>
      <c r="O682" s="7"/>
      <c r="P682" s="7"/>
      <c r="Q682" s="7"/>
      <c r="R682" s="7"/>
      <c r="S682" s="9">
        <f t="shared" si="112"/>
        <v>1270</v>
      </c>
      <c r="T682" s="10">
        <f t="shared" si="113"/>
        <v>0</v>
      </c>
      <c r="U682" s="10"/>
      <c r="V682">
        <f t="shared" ref="V682:V688" si="115">X682*0.1</f>
        <v>6</v>
      </c>
      <c r="W682">
        <f t="shared" ref="W682:W688" si="116">E682*S682*1.5</f>
        <v>0</v>
      </c>
      <c r="X682">
        <f t="shared" ref="X682:X688" si="117">J682+K682</f>
        <v>60</v>
      </c>
      <c r="Y682">
        <f t="shared" ref="Y682:Y688" si="118">X682*0.13</f>
        <v>7.8</v>
      </c>
    </row>
    <row r="683" spans="1:25">
      <c r="A683" s="6"/>
      <c r="B683" t="s">
        <v>27</v>
      </c>
      <c r="C683" s="7" t="s">
        <v>26</v>
      </c>
      <c r="D683" s="7"/>
      <c r="E683" s="7"/>
      <c r="F683" s="7">
        <f t="shared" si="114"/>
        <v>515</v>
      </c>
      <c r="G683" s="8"/>
      <c r="H683" s="7">
        <f t="shared" si="109"/>
        <v>0</v>
      </c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9">
        <f t="shared" si="112"/>
        <v>515</v>
      </c>
      <c r="T683" s="10">
        <f t="shared" si="113"/>
        <v>0</v>
      </c>
      <c r="U683" s="10"/>
      <c r="V683">
        <f t="shared" si="115"/>
        <v>0</v>
      </c>
      <c r="W683">
        <f t="shared" si="116"/>
        <v>0</v>
      </c>
      <c r="X683">
        <f t="shared" si="117"/>
        <v>0</v>
      </c>
      <c r="Y683">
        <f t="shared" si="118"/>
        <v>0</v>
      </c>
    </row>
    <row r="684" spans="1:25">
      <c r="A684" s="6"/>
      <c r="B684" s="6" t="s">
        <v>28</v>
      </c>
      <c r="C684" s="7" t="s">
        <v>26</v>
      </c>
      <c r="D684" s="7"/>
      <c r="E684" s="7"/>
      <c r="F684" s="7">
        <f t="shared" si="114"/>
        <v>1524</v>
      </c>
      <c r="G684" s="8"/>
      <c r="H684" s="7">
        <f t="shared" si="109"/>
        <v>0</v>
      </c>
      <c r="I684" s="7"/>
      <c r="J684" s="7">
        <v>30</v>
      </c>
      <c r="K684" s="7"/>
      <c r="L684" s="7"/>
      <c r="M684" s="7"/>
      <c r="N684" s="7"/>
      <c r="O684" s="7"/>
      <c r="P684" s="7"/>
      <c r="Q684" s="7"/>
      <c r="R684" s="7"/>
      <c r="S684" s="9">
        <f t="shared" si="112"/>
        <v>1494</v>
      </c>
      <c r="T684" s="10">
        <f t="shared" si="113"/>
        <v>0</v>
      </c>
      <c r="U684" s="10"/>
      <c r="V684">
        <f t="shared" si="115"/>
        <v>3</v>
      </c>
      <c r="W684">
        <f t="shared" si="116"/>
        <v>0</v>
      </c>
      <c r="X684">
        <f t="shared" si="117"/>
        <v>30</v>
      </c>
      <c r="Y684">
        <f t="shared" si="118"/>
        <v>3.9</v>
      </c>
    </row>
    <row r="685" spans="1:25">
      <c r="A685" s="6"/>
      <c r="B685" s="6" t="s">
        <v>29</v>
      </c>
      <c r="C685" s="7" t="s">
        <v>26</v>
      </c>
      <c r="D685" s="7"/>
      <c r="E685" s="7"/>
      <c r="F685" s="7">
        <f t="shared" si="114"/>
        <v>187</v>
      </c>
      <c r="G685" s="8"/>
      <c r="H685" s="7">
        <f t="shared" si="109"/>
        <v>0</v>
      </c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9">
        <f t="shared" si="112"/>
        <v>187</v>
      </c>
      <c r="T685" s="10">
        <f t="shared" si="113"/>
        <v>0</v>
      </c>
      <c r="U685" s="10"/>
      <c r="V685">
        <f t="shared" si="115"/>
        <v>0</v>
      </c>
      <c r="W685">
        <f t="shared" si="116"/>
        <v>0</v>
      </c>
      <c r="X685">
        <f t="shared" si="117"/>
        <v>0</v>
      </c>
      <c r="Y685">
        <f t="shared" si="118"/>
        <v>0</v>
      </c>
    </row>
    <row r="686" spans="1:25">
      <c r="A686" s="6"/>
      <c r="B686" s="6" t="s">
        <v>30</v>
      </c>
      <c r="C686" s="7" t="s">
        <v>26</v>
      </c>
      <c r="D686" s="7"/>
      <c r="E686" s="7"/>
      <c r="F686" s="7">
        <f t="shared" si="114"/>
        <v>2051</v>
      </c>
      <c r="G686" s="8"/>
      <c r="H686" s="7">
        <f t="shared" si="109"/>
        <v>0</v>
      </c>
      <c r="I686" s="7"/>
      <c r="J686" s="7">
        <v>120</v>
      </c>
      <c r="K686" s="7"/>
      <c r="L686" s="7"/>
      <c r="M686" s="7"/>
      <c r="N686" s="7"/>
      <c r="O686" s="7"/>
      <c r="P686" s="7"/>
      <c r="Q686" s="7"/>
      <c r="R686" s="7"/>
      <c r="S686" s="9">
        <f t="shared" si="112"/>
        <v>1931</v>
      </c>
      <c r="T686" s="10">
        <f t="shared" si="113"/>
        <v>0</v>
      </c>
      <c r="U686" s="10"/>
      <c r="V686">
        <f t="shared" si="115"/>
        <v>12</v>
      </c>
      <c r="W686">
        <f t="shared" si="116"/>
        <v>0</v>
      </c>
      <c r="X686">
        <f t="shared" si="117"/>
        <v>120</v>
      </c>
      <c r="Y686">
        <f t="shared" si="118"/>
        <v>15.6</v>
      </c>
    </row>
    <row r="687" spans="1:25">
      <c r="A687" s="6"/>
      <c r="B687" s="6" t="s">
        <v>31</v>
      </c>
      <c r="C687" s="7" t="s">
        <v>26</v>
      </c>
      <c r="D687" s="7"/>
      <c r="E687" s="7"/>
      <c r="F687" s="7">
        <f t="shared" si="114"/>
        <v>1156</v>
      </c>
      <c r="G687" s="8"/>
      <c r="H687" s="7">
        <f t="shared" si="109"/>
        <v>0</v>
      </c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9">
        <f t="shared" si="112"/>
        <v>1156</v>
      </c>
      <c r="T687" s="10">
        <f t="shared" si="113"/>
        <v>0</v>
      </c>
      <c r="U687" s="10"/>
      <c r="V687">
        <f t="shared" si="115"/>
        <v>0</v>
      </c>
      <c r="W687">
        <f t="shared" si="116"/>
        <v>0</v>
      </c>
      <c r="X687">
        <f t="shared" si="117"/>
        <v>0</v>
      </c>
      <c r="Y687">
        <f t="shared" si="118"/>
        <v>0</v>
      </c>
    </row>
    <row r="688" spans="1:25">
      <c r="A688" s="6"/>
      <c r="B688" s="6" t="s">
        <v>32</v>
      </c>
      <c r="C688" s="7" t="s">
        <v>26</v>
      </c>
      <c r="D688" s="7"/>
      <c r="E688" s="7"/>
      <c r="F688" s="7">
        <f t="shared" si="114"/>
        <v>975</v>
      </c>
      <c r="G688" s="8"/>
      <c r="H688" s="7">
        <f t="shared" si="109"/>
        <v>0</v>
      </c>
      <c r="I688" s="7"/>
      <c r="J688" s="7">
        <v>20</v>
      </c>
      <c r="K688" s="7">
        <v>120</v>
      </c>
      <c r="L688" s="7"/>
      <c r="M688" s="7">
        <v>1</v>
      </c>
      <c r="N688" s="7"/>
      <c r="O688" s="7"/>
      <c r="P688" s="7"/>
      <c r="Q688" s="7"/>
      <c r="R688" s="7"/>
      <c r="S688" s="9">
        <f t="shared" si="112"/>
        <v>836</v>
      </c>
      <c r="T688" s="10">
        <f t="shared" si="113"/>
        <v>0</v>
      </c>
      <c r="U688" s="10"/>
      <c r="V688">
        <f t="shared" si="115"/>
        <v>14</v>
      </c>
      <c r="W688">
        <f t="shared" si="116"/>
        <v>0</v>
      </c>
      <c r="X688">
        <f t="shared" si="117"/>
        <v>140</v>
      </c>
      <c r="Y688">
        <f t="shared" si="118"/>
        <v>18.2</v>
      </c>
    </row>
    <row r="689" spans="1:21">
      <c r="A689" s="6"/>
      <c r="B689" s="6" t="s">
        <v>33</v>
      </c>
      <c r="C689" s="7" t="s">
        <v>26</v>
      </c>
      <c r="D689" s="7"/>
      <c r="E689" s="7"/>
      <c r="F689" s="7">
        <f t="shared" si="114"/>
        <v>1335</v>
      </c>
      <c r="G689" s="8"/>
      <c r="H689" s="7">
        <f t="shared" si="109"/>
        <v>0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9">
        <f t="shared" si="112"/>
        <v>1335</v>
      </c>
      <c r="T689" s="10">
        <f t="shared" si="113"/>
        <v>0</v>
      </c>
      <c r="U689" s="10"/>
    </row>
    <row r="690" spans="1:21">
      <c r="A690" s="6"/>
      <c r="B690" s="11" t="s">
        <v>34</v>
      </c>
      <c r="C690" s="7" t="s">
        <v>26</v>
      </c>
      <c r="D690" s="7"/>
      <c r="E690" s="7"/>
      <c r="F690" s="7">
        <f t="shared" si="114"/>
        <v>17</v>
      </c>
      <c r="G690" s="8"/>
      <c r="H690" s="7">
        <f t="shared" si="109"/>
        <v>0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9">
        <f t="shared" si="112"/>
        <v>17</v>
      </c>
      <c r="T690" s="10">
        <f t="shared" si="113"/>
        <v>0</v>
      </c>
      <c r="U690" s="10"/>
    </row>
    <row r="691" spans="1:21">
      <c r="A691" s="6"/>
      <c r="B691" s="11" t="s">
        <v>35</v>
      </c>
      <c r="C691" s="7" t="s">
        <v>26</v>
      </c>
      <c r="D691" s="7"/>
      <c r="E691" s="7"/>
      <c r="F691" s="7">
        <f t="shared" si="114"/>
        <v>120</v>
      </c>
      <c r="G691" s="8"/>
      <c r="H691" s="7">
        <f t="shared" si="109"/>
        <v>0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9">
        <f t="shared" si="112"/>
        <v>120</v>
      </c>
      <c r="T691" s="10">
        <f t="shared" si="113"/>
        <v>0</v>
      </c>
      <c r="U691" s="10"/>
    </row>
    <row r="692" spans="1:21">
      <c r="A692" s="6"/>
      <c r="B692" s="11" t="s">
        <v>36</v>
      </c>
      <c r="C692" s="7" t="s">
        <v>26</v>
      </c>
      <c r="D692" s="7"/>
      <c r="E692" s="7"/>
      <c r="F692" s="7">
        <f t="shared" si="114"/>
        <v>0</v>
      </c>
      <c r="G692" s="8"/>
      <c r="H692" s="7">
        <f t="shared" si="109"/>
        <v>0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9">
        <f t="shared" ref="S692:S734" si="119">F692+G692-J692-K692-L692+M692+O692-P692-R692</f>
        <v>0</v>
      </c>
      <c r="T692" s="10">
        <f t="shared" ref="T692:T734" si="120">H692+I692+N692+R692-Q692</f>
        <v>0</v>
      </c>
      <c r="U692" s="10"/>
    </row>
    <row r="693" spans="1:21">
      <c r="A693" s="6"/>
      <c r="B693" s="11" t="s">
        <v>37</v>
      </c>
      <c r="C693" s="7" t="s">
        <v>26</v>
      </c>
      <c r="D693" s="7"/>
      <c r="E693" s="7"/>
      <c r="F693" s="7">
        <f t="shared" si="114"/>
        <v>24</v>
      </c>
      <c r="G693" s="8"/>
      <c r="H693" s="7">
        <f t="shared" si="109"/>
        <v>0</v>
      </c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9">
        <f t="shared" si="119"/>
        <v>24</v>
      </c>
      <c r="T693" s="10">
        <f t="shared" si="120"/>
        <v>0</v>
      </c>
      <c r="U693" s="10"/>
    </row>
    <row r="694" spans="1:21">
      <c r="A694" s="6"/>
      <c r="B694" s="11" t="s">
        <v>38</v>
      </c>
      <c r="C694" s="7" t="s">
        <v>26</v>
      </c>
      <c r="D694" s="7"/>
      <c r="E694" s="7"/>
      <c r="F694" s="7">
        <f t="shared" ref="F694:F705" si="121">S609</f>
        <v>0</v>
      </c>
      <c r="G694" s="8"/>
      <c r="H694" s="7">
        <f t="shared" si="109"/>
        <v>0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9">
        <f t="shared" si="119"/>
        <v>0</v>
      </c>
      <c r="T694" s="10">
        <f t="shared" si="120"/>
        <v>0</v>
      </c>
      <c r="U694" s="10"/>
    </row>
    <row r="695" spans="1:21">
      <c r="A695" s="6"/>
      <c r="B695" s="11" t="s">
        <v>39</v>
      </c>
      <c r="C695" s="7" t="s">
        <v>26</v>
      </c>
      <c r="D695" s="7"/>
      <c r="E695" s="7"/>
      <c r="F695" s="7">
        <f t="shared" si="121"/>
        <v>1700</v>
      </c>
      <c r="G695" s="8"/>
      <c r="H695" s="7">
        <f t="shared" si="109"/>
        <v>0</v>
      </c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9">
        <f t="shared" si="119"/>
        <v>1700</v>
      </c>
      <c r="T695" s="10">
        <f t="shared" si="120"/>
        <v>0</v>
      </c>
      <c r="U695" s="10"/>
    </row>
    <row r="696" spans="1:21">
      <c r="A696" s="6"/>
      <c r="B696" s="11" t="s">
        <v>40</v>
      </c>
      <c r="C696" s="7" t="s">
        <v>41</v>
      </c>
      <c r="D696" s="7"/>
      <c r="E696" s="7"/>
      <c r="F696" s="7">
        <f t="shared" si="121"/>
        <v>0</v>
      </c>
      <c r="G696" s="8"/>
      <c r="H696" s="7">
        <f t="shared" ref="H696:H759" si="122">T611</f>
        <v>0</v>
      </c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9">
        <f t="shared" si="119"/>
        <v>0</v>
      </c>
      <c r="T696" s="10">
        <f t="shared" si="120"/>
        <v>0</v>
      </c>
      <c r="U696" s="10"/>
    </row>
    <row r="697" spans="1:21">
      <c r="A697" s="6"/>
      <c r="B697" s="11" t="s">
        <v>42</v>
      </c>
      <c r="C697" s="7" t="s">
        <v>41</v>
      </c>
      <c r="D697" s="7"/>
      <c r="E697" s="7"/>
      <c r="F697" s="7">
        <f t="shared" si="121"/>
        <v>53</v>
      </c>
      <c r="G697" s="8"/>
      <c r="H697" s="7">
        <f t="shared" si="122"/>
        <v>0</v>
      </c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9">
        <f t="shared" si="119"/>
        <v>53</v>
      </c>
      <c r="T697" s="10">
        <f t="shared" si="120"/>
        <v>0</v>
      </c>
      <c r="U697" s="10"/>
    </row>
    <row r="698" spans="1:21">
      <c r="A698" s="6"/>
      <c r="B698" s="11" t="s">
        <v>43</v>
      </c>
      <c r="C698" s="7" t="s">
        <v>41</v>
      </c>
      <c r="D698" s="7"/>
      <c r="E698" s="7"/>
      <c r="F698" s="7">
        <f t="shared" si="121"/>
        <v>0</v>
      </c>
      <c r="G698" s="8"/>
      <c r="H698" s="7">
        <f t="shared" si="122"/>
        <v>0</v>
      </c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9">
        <f t="shared" si="119"/>
        <v>0</v>
      </c>
      <c r="T698" s="10">
        <f t="shared" si="120"/>
        <v>0</v>
      </c>
      <c r="U698" s="10"/>
    </row>
    <row r="699" spans="1:21">
      <c r="A699" s="6"/>
      <c r="B699" s="11" t="s">
        <v>44</v>
      </c>
      <c r="C699" s="7" t="s">
        <v>41</v>
      </c>
      <c r="D699" s="7"/>
      <c r="E699" s="7"/>
      <c r="F699" s="7">
        <f t="shared" si="121"/>
        <v>75</v>
      </c>
      <c r="G699" s="8"/>
      <c r="H699" s="7">
        <f t="shared" si="122"/>
        <v>0</v>
      </c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9">
        <f t="shared" si="119"/>
        <v>75</v>
      </c>
      <c r="T699" s="10">
        <f t="shared" si="120"/>
        <v>0</v>
      </c>
      <c r="U699" s="10"/>
    </row>
    <row r="700" spans="1:21">
      <c r="A700" s="6"/>
      <c r="B700" s="11" t="s">
        <v>45</v>
      </c>
      <c r="C700" s="7" t="s">
        <v>41</v>
      </c>
      <c r="D700" s="7"/>
      <c r="E700" s="7"/>
      <c r="F700" s="7">
        <f t="shared" ref="F700:F725" si="123">S615</f>
        <v>0</v>
      </c>
      <c r="G700" s="8"/>
      <c r="H700" s="7">
        <f t="shared" si="122"/>
        <v>0</v>
      </c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9">
        <f t="shared" si="119"/>
        <v>0</v>
      </c>
      <c r="T700" s="10">
        <f t="shared" si="120"/>
        <v>0</v>
      </c>
      <c r="U700" s="10"/>
    </row>
    <row r="701" spans="1:21">
      <c r="A701" s="6"/>
      <c r="B701" s="11" t="s">
        <v>46</v>
      </c>
      <c r="C701" s="7" t="s">
        <v>41</v>
      </c>
      <c r="D701" s="7"/>
      <c r="E701" s="7"/>
      <c r="F701" s="7">
        <f t="shared" si="123"/>
        <v>17</v>
      </c>
      <c r="G701" s="8"/>
      <c r="H701" s="7">
        <f t="shared" si="122"/>
        <v>0</v>
      </c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9">
        <f t="shared" si="119"/>
        <v>17</v>
      </c>
      <c r="T701" s="10">
        <f t="shared" si="120"/>
        <v>0</v>
      </c>
      <c r="U701" s="10"/>
    </row>
    <row r="702" spans="1:21">
      <c r="A702" s="6"/>
      <c r="B702" s="11" t="s">
        <v>47</v>
      </c>
      <c r="C702" s="7" t="s">
        <v>26</v>
      </c>
      <c r="D702" s="7"/>
      <c r="E702" s="7"/>
      <c r="F702" s="7">
        <f t="shared" si="123"/>
        <v>0</v>
      </c>
      <c r="G702" s="8"/>
      <c r="H702" s="7">
        <f t="shared" si="122"/>
        <v>0</v>
      </c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9">
        <f t="shared" si="119"/>
        <v>0</v>
      </c>
      <c r="T702" s="10">
        <f t="shared" si="120"/>
        <v>0</v>
      </c>
      <c r="U702" s="10"/>
    </row>
    <row r="703" spans="1:21">
      <c r="A703" s="6"/>
      <c r="B703" s="11" t="s">
        <v>48</v>
      </c>
      <c r="C703" s="7" t="s">
        <v>26</v>
      </c>
      <c r="D703" s="7"/>
      <c r="E703" s="7"/>
      <c r="F703" s="7">
        <f t="shared" si="123"/>
        <v>40597</v>
      </c>
      <c r="G703" s="8"/>
      <c r="H703" s="7">
        <f t="shared" si="122"/>
        <v>0</v>
      </c>
      <c r="I703" s="7"/>
      <c r="J703" s="7">
        <v>1800</v>
      </c>
      <c r="K703" s="7"/>
      <c r="L703" s="7"/>
      <c r="M703" s="7"/>
      <c r="N703" s="7"/>
      <c r="O703" s="7"/>
      <c r="P703" s="7"/>
      <c r="Q703" s="7"/>
      <c r="R703" s="7"/>
      <c r="S703" s="9">
        <f t="shared" si="119"/>
        <v>38797</v>
      </c>
      <c r="T703" s="10">
        <f t="shared" si="120"/>
        <v>0</v>
      </c>
      <c r="U703" s="10" t="s">
        <v>104</v>
      </c>
    </row>
    <row r="704" spans="1:21">
      <c r="A704" s="6"/>
      <c r="B704" s="11" t="s">
        <v>50</v>
      </c>
      <c r="C704" s="7" t="s">
        <v>26</v>
      </c>
      <c r="D704" s="7"/>
      <c r="E704" s="7"/>
      <c r="F704" s="7">
        <f t="shared" si="123"/>
        <v>0</v>
      </c>
      <c r="G704" s="8"/>
      <c r="H704" s="7">
        <f t="shared" si="122"/>
        <v>0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9">
        <f t="shared" si="119"/>
        <v>0</v>
      </c>
      <c r="T704" s="10">
        <f t="shared" si="120"/>
        <v>0</v>
      </c>
      <c r="U704" s="10"/>
    </row>
    <row r="705" spans="1:21">
      <c r="A705" s="6"/>
      <c r="B705" s="11" t="s">
        <v>51</v>
      </c>
      <c r="C705" s="7" t="s">
        <v>26</v>
      </c>
      <c r="D705" s="7"/>
      <c r="E705" s="7"/>
      <c r="F705" s="7">
        <f t="shared" si="123"/>
        <v>0</v>
      </c>
      <c r="G705" s="8"/>
      <c r="H705" s="7">
        <f t="shared" si="122"/>
        <v>0</v>
      </c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9">
        <f t="shared" si="119"/>
        <v>0</v>
      </c>
      <c r="T705" s="10">
        <f t="shared" si="120"/>
        <v>0</v>
      </c>
      <c r="U705" s="10"/>
    </row>
    <row r="706" spans="1:21">
      <c r="A706" s="6"/>
      <c r="B706" s="11" t="s">
        <v>52</v>
      </c>
      <c r="C706" s="7" t="s">
        <v>26</v>
      </c>
      <c r="D706" s="7"/>
      <c r="E706" s="7"/>
      <c r="F706" s="7">
        <f t="shared" si="123"/>
        <v>13726</v>
      </c>
      <c r="G706" s="8"/>
      <c r="H706" s="7">
        <f t="shared" si="122"/>
        <v>0</v>
      </c>
      <c r="I706" s="7"/>
      <c r="J706" s="7">
        <v>1152</v>
      </c>
      <c r="K706" s="7">
        <v>144</v>
      </c>
      <c r="L706" s="7"/>
      <c r="M706" s="7"/>
      <c r="N706" s="7"/>
      <c r="O706" s="7"/>
      <c r="P706" s="7"/>
      <c r="Q706" s="7"/>
      <c r="R706" s="7"/>
      <c r="S706" s="9">
        <f t="shared" si="119"/>
        <v>12430</v>
      </c>
      <c r="T706" s="10">
        <f t="shared" si="120"/>
        <v>0</v>
      </c>
      <c r="U706" s="10"/>
    </row>
    <row r="707" spans="1:21">
      <c r="A707" s="6"/>
      <c r="B707" s="11" t="s">
        <v>53</v>
      </c>
      <c r="C707" s="7" t="s">
        <v>54</v>
      </c>
      <c r="D707" s="7"/>
      <c r="E707" s="7"/>
      <c r="F707" s="7">
        <f t="shared" si="123"/>
        <v>0</v>
      </c>
      <c r="G707" s="8"/>
      <c r="H707" s="7">
        <f t="shared" si="122"/>
        <v>0</v>
      </c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9">
        <f t="shared" si="119"/>
        <v>0</v>
      </c>
      <c r="T707" s="10">
        <f t="shared" si="120"/>
        <v>0</v>
      </c>
      <c r="U707" s="10"/>
    </row>
    <row r="708" spans="1:21">
      <c r="A708" s="6"/>
      <c r="B708" s="11" t="s">
        <v>55</v>
      </c>
      <c r="C708" s="7" t="s">
        <v>54</v>
      </c>
      <c r="D708" s="7"/>
      <c r="E708" s="7"/>
      <c r="F708" s="7">
        <f t="shared" si="123"/>
        <v>15</v>
      </c>
      <c r="G708" s="8"/>
      <c r="H708" s="7">
        <f t="shared" si="122"/>
        <v>0</v>
      </c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9">
        <f t="shared" si="119"/>
        <v>15</v>
      </c>
      <c r="T708" s="10">
        <f t="shared" si="120"/>
        <v>0</v>
      </c>
      <c r="U708" s="10"/>
    </row>
    <row r="709" spans="1:21">
      <c r="A709" s="6"/>
      <c r="B709" s="11" t="s">
        <v>56</v>
      </c>
      <c r="C709" s="7" t="s">
        <v>54</v>
      </c>
      <c r="D709" s="7"/>
      <c r="E709" s="7"/>
      <c r="F709" s="7">
        <f t="shared" si="123"/>
        <v>687</v>
      </c>
      <c r="G709" s="8"/>
      <c r="H709" s="7">
        <f t="shared" si="122"/>
        <v>0</v>
      </c>
      <c r="I709" s="7"/>
      <c r="J709" s="7">
        <v>73</v>
      </c>
      <c r="K709" s="7"/>
      <c r="L709" s="7"/>
      <c r="M709" s="7"/>
      <c r="N709" s="7"/>
      <c r="O709" s="7"/>
      <c r="P709" s="7"/>
      <c r="Q709" s="7"/>
      <c r="R709" s="7"/>
      <c r="S709" s="9">
        <f t="shared" si="119"/>
        <v>614</v>
      </c>
      <c r="T709" s="10">
        <f t="shared" si="120"/>
        <v>0</v>
      </c>
      <c r="U709" s="10"/>
    </row>
    <row r="710" spans="1:21">
      <c r="A710" s="6"/>
      <c r="B710" s="11" t="s">
        <v>57</v>
      </c>
      <c r="C710" s="7" t="s">
        <v>54</v>
      </c>
      <c r="D710" s="7"/>
      <c r="E710" s="7"/>
      <c r="F710" s="7">
        <f t="shared" si="123"/>
        <v>489</v>
      </c>
      <c r="G710" s="8"/>
      <c r="H710" s="7">
        <f t="shared" si="122"/>
        <v>0</v>
      </c>
      <c r="I710" s="7"/>
      <c r="J710" s="7"/>
      <c r="K710" s="7"/>
      <c r="L710" s="7"/>
      <c r="M710" s="7">
        <v>23</v>
      </c>
      <c r="N710" s="7"/>
      <c r="O710" s="7"/>
      <c r="P710" s="7"/>
      <c r="Q710" s="7"/>
      <c r="R710" s="7"/>
      <c r="S710" s="9">
        <f t="shared" si="119"/>
        <v>512</v>
      </c>
      <c r="T710" s="10">
        <f t="shared" si="120"/>
        <v>0</v>
      </c>
      <c r="U710" s="10"/>
    </row>
    <row r="711" spans="1:21">
      <c r="A711" s="6"/>
      <c r="B711" s="11" t="s">
        <v>58</v>
      </c>
      <c r="C711" s="7" t="s">
        <v>54</v>
      </c>
      <c r="D711" s="7"/>
      <c r="E711" s="7"/>
      <c r="F711" s="7">
        <f t="shared" si="123"/>
        <v>0</v>
      </c>
      <c r="G711" s="8"/>
      <c r="H711" s="7">
        <f t="shared" si="122"/>
        <v>0</v>
      </c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9">
        <f t="shared" si="119"/>
        <v>0</v>
      </c>
      <c r="T711" s="10">
        <f t="shared" si="120"/>
        <v>0</v>
      </c>
      <c r="U711" s="10"/>
    </row>
    <row r="712" spans="1:21">
      <c r="A712" s="6"/>
      <c r="B712" s="11" t="s">
        <v>59</v>
      </c>
      <c r="C712" s="7" t="s">
        <v>54</v>
      </c>
      <c r="D712" s="7"/>
      <c r="E712" s="7"/>
      <c r="F712" s="7">
        <f t="shared" si="123"/>
        <v>19</v>
      </c>
      <c r="G712" s="8"/>
      <c r="H712" s="7">
        <f t="shared" si="122"/>
        <v>0</v>
      </c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9">
        <f t="shared" si="119"/>
        <v>19</v>
      </c>
      <c r="T712" s="10">
        <f t="shared" si="120"/>
        <v>0</v>
      </c>
      <c r="U712" s="10"/>
    </row>
    <row r="713" spans="1:21">
      <c r="A713" s="6"/>
      <c r="B713" s="11" t="s">
        <v>60</v>
      </c>
      <c r="C713" s="7" t="s">
        <v>61</v>
      </c>
      <c r="D713" s="7"/>
      <c r="E713" s="7"/>
      <c r="F713" s="7">
        <f t="shared" si="123"/>
        <v>0</v>
      </c>
      <c r="G713" s="8"/>
      <c r="H713" s="7">
        <f t="shared" si="122"/>
        <v>0</v>
      </c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9">
        <f t="shared" si="119"/>
        <v>0</v>
      </c>
      <c r="T713" s="10">
        <f t="shared" si="120"/>
        <v>0</v>
      </c>
      <c r="U713" s="10"/>
    </row>
    <row r="714" spans="1:21">
      <c r="A714" s="6"/>
      <c r="B714" s="11" t="s">
        <v>62</v>
      </c>
      <c r="C714" s="7" t="s">
        <v>61</v>
      </c>
      <c r="D714" s="7"/>
      <c r="E714" s="7"/>
      <c r="F714" s="7">
        <f t="shared" si="123"/>
        <v>11</v>
      </c>
      <c r="G714" s="8"/>
      <c r="H714" s="7">
        <f t="shared" si="122"/>
        <v>0</v>
      </c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9">
        <f t="shared" si="119"/>
        <v>11</v>
      </c>
      <c r="T714" s="10">
        <f t="shared" si="120"/>
        <v>0</v>
      </c>
      <c r="U714" s="10"/>
    </row>
    <row r="715" spans="1:21">
      <c r="A715" s="6"/>
      <c r="B715" s="10" t="s">
        <v>63</v>
      </c>
      <c r="C715" s="10" t="s">
        <v>41</v>
      </c>
      <c r="D715" s="7"/>
      <c r="E715" s="7"/>
      <c r="F715" s="7">
        <f t="shared" si="123"/>
        <v>0</v>
      </c>
      <c r="G715" s="8"/>
      <c r="H715" s="7">
        <f t="shared" si="122"/>
        <v>0</v>
      </c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9">
        <f t="shared" si="119"/>
        <v>0</v>
      </c>
      <c r="T715" s="10">
        <f t="shared" si="120"/>
        <v>0</v>
      </c>
      <c r="U715" s="10"/>
    </row>
    <row r="716" spans="1:21">
      <c r="A716" s="6"/>
      <c r="B716" s="10" t="s">
        <v>64</v>
      </c>
      <c r="C716" s="10" t="s">
        <v>41</v>
      </c>
      <c r="D716" s="7"/>
      <c r="E716" s="7"/>
      <c r="F716" s="7">
        <f t="shared" si="123"/>
        <v>5</v>
      </c>
      <c r="G716" s="8"/>
      <c r="H716" s="7">
        <f t="shared" si="122"/>
        <v>0</v>
      </c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9">
        <f t="shared" si="119"/>
        <v>5</v>
      </c>
      <c r="T716" s="10">
        <f t="shared" si="120"/>
        <v>0</v>
      </c>
      <c r="U716" s="10"/>
    </row>
    <row r="717" spans="1:21">
      <c r="A717" s="6"/>
      <c r="B717" s="11" t="s">
        <v>65</v>
      </c>
      <c r="C717" s="7" t="s">
        <v>26</v>
      </c>
      <c r="D717" s="7"/>
      <c r="E717" s="7"/>
      <c r="F717" s="7">
        <f t="shared" si="123"/>
        <v>0</v>
      </c>
      <c r="G717" s="8"/>
      <c r="H717" s="7">
        <f t="shared" si="122"/>
        <v>0</v>
      </c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9">
        <f t="shared" si="119"/>
        <v>0</v>
      </c>
      <c r="T717" s="10">
        <f t="shared" si="120"/>
        <v>0</v>
      </c>
      <c r="U717" s="10"/>
    </row>
    <row r="718" spans="1:21">
      <c r="A718" s="6"/>
      <c r="B718" s="11" t="s">
        <v>66</v>
      </c>
      <c r="C718" s="7" t="s">
        <v>26</v>
      </c>
      <c r="D718" s="7"/>
      <c r="E718" s="7"/>
      <c r="F718" s="7">
        <f t="shared" si="123"/>
        <v>71</v>
      </c>
      <c r="G718" s="8"/>
      <c r="H718" s="7">
        <f t="shared" si="122"/>
        <v>0</v>
      </c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9">
        <f t="shared" si="119"/>
        <v>71</v>
      </c>
      <c r="T718" s="10">
        <f t="shared" si="120"/>
        <v>0</v>
      </c>
      <c r="U718" s="10"/>
    </row>
    <row r="719" spans="1:21">
      <c r="A719" s="6"/>
      <c r="B719" s="11" t="s">
        <v>67</v>
      </c>
      <c r="C719" s="7" t="s">
        <v>26</v>
      </c>
      <c r="D719" s="7"/>
      <c r="E719" s="7"/>
      <c r="F719" s="7">
        <f t="shared" si="123"/>
        <v>0</v>
      </c>
      <c r="G719" s="8"/>
      <c r="H719" s="7">
        <f t="shared" si="122"/>
        <v>0</v>
      </c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9">
        <f t="shared" si="119"/>
        <v>0</v>
      </c>
      <c r="T719" s="10">
        <f t="shared" si="120"/>
        <v>0</v>
      </c>
      <c r="U719" s="10"/>
    </row>
    <row r="720" spans="1:21">
      <c r="A720" s="6"/>
      <c r="B720" s="11" t="s">
        <v>68</v>
      </c>
      <c r="C720" s="7" t="s">
        <v>26</v>
      </c>
      <c r="D720" s="7"/>
      <c r="E720" s="7"/>
      <c r="F720" s="7">
        <f t="shared" si="123"/>
        <v>7</v>
      </c>
      <c r="G720" s="8"/>
      <c r="H720" s="7">
        <f t="shared" si="122"/>
        <v>0</v>
      </c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9">
        <f t="shared" si="119"/>
        <v>7</v>
      </c>
      <c r="T720" s="10">
        <f t="shared" si="120"/>
        <v>0</v>
      </c>
      <c r="U720" s="10"/>
    </row>
    <row r="721" spans="1:21">
      <c r="A721" s="6"/>
      <c r="B721" s="11" t="s">
        <v>69</v>
      </c>
      <c r="C721" s="7" t="s">
        <v>41</v>
      </c>
      <c r="D721" s="7"/>
      <c r="E721" s="7"/>
      <c r="F721" s="7">
        <f t="shared" ref="F721:F735" si="124">S636</f>
        <v>0</v>
      </c>
      <c r="G721" s="8"/>
      <c r="H721" s="7">
        <f t="shared" si="122"/>
        <v>0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9">
        <f t="shared" si="119"/>
        <v>0</v>
      </c>
      <c r="T721" s="10">
        <f t="shared" si="120"/>
        <v>0</v>
      </c>
      <c r="U721" s="10"/>
    </row>
    <row r="722" spans="1:21">
      <c r="A722" s="6"/>
      <c r="B722" s="11" t="s">
        <v>70</v>
      </c>
      <c r="C722" s="7" t="s">
        <v>41</v>
      </c>
      <c r="D722" s="7"/>
      <c r="E722" s="7"/>
      <c r="F722" s="7">
        <f t="shared" si="124"/>
        <v>13</v>
      </c>
      <c r="G722" s="8"/>
      <c r="H722" s="7">
        <f t="shared" si="122"/>
        <v>0</v>
      </c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9">
        <f t="shared" si="119"/>
        <v>13</v>
      </c>
      <c r="T722" s="10">
        <f t="shared" si="120"/>
        <v>0</v>
      </c>
      <c r="U722" s="10"/>
    </row>
    <row r="723" spans="1:21">
      <c r="A723" s="6"/>
      <c r="B723" s="11" t="s">
        <v>71</v>
      </c>
      <c r="C723" s="7" t="s">
        <v>61</v>
      </c>
      <c r="D723" s="7"/>
      <c r="E723" s="7"/>
      <c r="F723" s="7">
        <f t="shared" si="124"/>
        <v>0</v>
      </c>
      <c r="G723" s="8"/>
      <c r="H723" s="7">
        <f t="shared" si="122"/>
        <v>0</v>
      </c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9">
        <f t="shared" si="119"/>
        <v>0</v>
      </c>
      <c r="T723" s="10">
        <f t="shared" si="120"/>
        <v>0</v>
      </c>
      <c r="U723" s="10"/>
    </row>
    <row r="724" spans="1:21">
      <c r="A724" s="6"/>
      <c r="B724" s="11" t="s">
        <v>72</v>
      </c>
      <c r="C724" s="7" t="s">
        <v>61</v>
      </c>
      <c r="D724" s="7"/>
      <c r="E724" s="7"/>
      <c r="F724" s="7">
        <f t="shared" si="124"/>
        <v>8</v>
      </c>
      <c r="G724" s="8"/>
      <c r="H724" s="7">
        <f t="shared" si="122"/>
        <v>0</v>
      </c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9">
        <f t="shared" si="119"/>
        <v>8</v>
      </c>
      <c r="T724" s="10">
        <f t="shared" si="120"/>
        <v>0</v>
      </c>
      <c r="U724" s="10"/>
    </row>
    <row r="725" spans="1:21">
      <c r="A725" s="6"/>
      <c r="B725" s="11" t="s">
        <v>73</v>
      </c>
      <c r="C725" s="7" t="s">
        <v>26</v>
      </c>
      <c r="D725" s="7"/>
      <c r="E725" s="7"/>
      <c r="F725" s="7">
        <f t="shared" si="124"/>
        <v>0</v>
      </c>
      <c r="G725" s="8"/>
      <c r="H725" s="7">
        <f t="shared" si="122"/>
        <v>0</v>
      </c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9">
        <f t="shared" si="119"/>
        <v>0</v>
      </c>
      <c r="T725" s="10">
        <f t="shared" si="120"/>
        <v>0</v>
      </c>
      <c r="U725" s="10"/>
    </row>
    <row r="726" spans="1:21">
      <c r="A726" s="6"/>
      <c r="B726" s="11" t="s">
        <v>74</v>
      </c>
      <c r="C726" s="7" t="s">
        <v>26</v>
      </c>
      <c r="D726" s="7"/>
      <c r="E726" s="7"/>
      <c r="F726" s="7">
        <f t="shared" si="124"/>
        <v>22</v>
      </c>
      <c r="G726" s="8"/>
      <c r="H726" s="7">
        <f t="shared" si="122"/>
        <v>0</v>
      </c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9">
        <f t="shared" si="119"/>
        <v>22</v>
      </c>
      <c r="T726" s="10">
        <f t="shared" si="120"/>
        <v>0</v>
      </c>
      <c r="U726" s="10"/>
    </row>
    <row r="727" spans="1:21">
      <c r="A727" s="6"/>
      <c r="B727" s="11" t="s">
        <v>75</v>
      </c>
      <c r="C727" s="7" t="s">
        <v>26</v>
      </c>
      <c r="D727" s="7"/>
      <c r="E727" s="7"/>
      <c r="F727" s="7">
        <f t="shared" si="124"/>
        <v>0</v>
      </c>
      <c r="G727" s="8"/>
      <c r="H727" s="7">
        <f t="shared" si="122"/>
        <v>0</v>
      </c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9">
        <f t="shared" si="119"/>
        <v>0</v>
      </c>
      <c r="T727" s="10">
        <f t="shared" si="120"/>
        <v>0</v>
      </c>
      <c r="U727" s="10"/>
    </row>
    <row r="728" spans="1:21">
      <c r="A728" s="6"/>
      <c r="B728" s="11" t="s">
        <v>76</v>
      </c>
      <c r="C728" s="7" t="s">
        <v>26</v>
      </c>
      <c r="D728" s="7"/>
      <c r="E728" s="7"/>
      <c r="F728" s="7">
        <f t="shared" si="124"/>
        <v>20</v>
      </c>
      <c r="G728" s="8"/>
      <c r="H728" s="7">
        <f t="shared" si="122"/>
        <v>0</v>
      </c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9">
        <f t="shared" si="119"/>
        <v>20</v>
      </c>
      <c r="T728" s="10">
        <f t="shared" si="120"/>
        <v>0</v>
      </c>
      <c r="U728" s="10"/>
    </row>
    <row r="729" spans="1:21">
      <c r="A729" s="6"/>
      <c r="B729" s="11" t="s">
        <v>77</v>
      </c>
      <c r="C729" s="7" t="s">
        <v>61</v>
      </c>
      <c r="D729" s="7"/>
      <c r="E729" s="7"/>
      <c r="F729" s="7">
        <f t="shared" si="124"/>
        <v>0</v>
      </c>
      <c r="G729" s="8"/>
      <c r="H729" s="7">
        <f t="shared" si="122"/>
        <v>0</v>
      </c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9">
        <f t="shared" si="119"/>
        <v>0</v>
      </c>
      <c r="T729" s="10">
        <f t="shared" si="120"/>
        <v>0</v>
      </c>
      <c r="U729" s="10"/>
    </row>
    <row r="730" spans="1:21">
      <c r="A730" s="6"/>
      <c r="B730" s="11" t="s">
        <v>78</v>
      </c>
      <c r="C730" s="7" t="s">
        <v>61</v>
      </c>
      <c r="D730" s="7"/>
      <c r="E730" s="7"/>
      <c r="F730" s="7">
        <f t="shared" si="124"/>
        <v>69</v>
      </c>
      <c r="G730" s="8"/>
      <c r="H730" s="7">
        <f t="shared" si="122"/>
        <v>0</v>
      </c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9">
        <f t="shared" si="119"/>
        <v>69</v>
      </c>
      <c r="T730" s="10">
        <f t="shared" si="120"/>
        <v>0</v>
      </c>
      <c r="U730" s="10"/>
    </row>
    <row r="731" spans="1:21">
      <c r="A731" s="6"/>
      <c r="B731" s="11" t="s">
        <v>105</v>
      </c>
      <c r="C731" s="7" t="s">
        <v>26</v>
      </c>
      <c r="D731" s="7"/>
      <c r="E731" s="7"/>
      <c r="F731" s="7">
        <f t="shared" si="124"/>
        <v>1149</v>
      </c>
      <c r="G731" s="8"/>
      <c r="H731" s="7">
        <f t="shared" si="122"/>
        <v>0</v>
      </c>
      <c r="I731" s="7"/>
      <c r="J731" s="7">
        <v>120</v>
      </c>
      <c r="K731" s="7"/>
      <c r="L731" s="7"/>
      <c r="M731" s="7">
        <v>1</v>
      </c>
      <c r="N731" s="7"/>
      <c r="O731" s="7"/>
      <c r="P731" s="7"/>
      <c r="Q731" s="7"/>
      <c r="R731" s="7"/>
      <c r="S731" s="9">
        <f t="shared" si="119"/>
        <v>1030</v>
      </c>
      <c r="T731" s="10">
        <f t="shared" si="120"/>
        <v>0</v>
      </c>
      <c r="U731" s="10"/>
    </row>
    <row r="732" spans="1:21">
      <c r="A732" s="6"/>
      <c r="B732" s="11" t="s">
        <v>80</v>
      </c>
      <c r="C732" s="7" t="s">
        <v>26</v>
      </c>
      <c r="D732" s="7"/>
      <c r="E732" s="7"/>
      <c r="F732" s="7">
        <f t="shared" si="124"/>
        <v>568</v>
      </c>
      <c r="G732" s="8"/>
      <c r="H732" s="7">
        <f t="shared" si="122"/>
        <v>0</v>
      </c>
      <c r="I732" s="7"/>
      <c r="J732" s="7"/>
      <c r="K732" s="7"/>
      <c r="L732" s="7"/>
      <c r="M732" s="7">
        <v>24</v>
      </c>
      <c r="N732" s="7"/>
      <c r="O732" s="7"/>
      <c r="P732" s="7"/>
      <c r="Q732" s="7"/>
      <c r="R732" s="7"/>
      <c r="S732" s="9">
        <f t="shared" si="119"/>
        <v>592</v>
      </c>
      <c r="T732" s="10">
        <f t="shared" si="120"/>
        <v>0</v>
      </c>
      <c r="U732" s="10"/>
    </row>
    <row r="733" spans="1:21">
      <c r="A733" s="6"/>
      <c r="B733" s="11" t="s">
        <v>81</v>
      </c>
      <c r="C733" s="7" t="s">
        <v>26</v>
      </c>
      <c r="D733" s="7"/>
      <c r="E733" s="7"/>
      <c r="F733" s="7">
        <f t="shared" ref="F733:F746" si="125">S648</f>
        <v>0</v>
      </c>
      <c r="G733" s="8"/>
      <c r="H733" s="7">
        <f t="shared" si="122"/>
        <v>0</v>
      </c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9">
        <f t="shared" si="119"/>
        <v>0</v>
      </c>
      <c r="T733" s="10">
        <f t="shared" si="120"/>
        <v>0</v>
      </c>
      <c r="U733" s="10"/>
    </row>
    <row r="734" spans="1:21">
      <c r="A734" s="6"/>
      <c r="B734" s="11" t="s">
        <v>82</v>
      </c>
      <c r="C734" s="7" t="s">
        <v>26</v>
      </c>
      <c r="D734" s="7"/>
      <c r="E734" s="7"/>
      <c r="F734" s="7">
        <f t="shared" si="125"/>
        <v>14</v>
      </c>
      <c r="G734" s="8"/>
      <c r="H734" s="7">
        <f t="shared" si="122"/>
        <v>0</v>
      </c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9">
        <f t="shared" si="119"/>
        <v>14</v>
      </c>
      <c r="T734" s="10">
        <f t="shared" si="120"/>
        <v>0</v>
      </c>
      <c r="U734" s="10"/>
    </row>
    <row r="735" spans="1:21">
      <c r="A735" s="6"/>
      <c r="B735" s="11" t="s">
        <v>83</v>
      </c>
      <c r="C735" s="7" t="s">
        <v>26</v>
      </c>
      <c r="D735" s="7"/>
      <c r="E735" s="7"/>
      <c r="F735" s="7">
        <f t="shared" si="125"/>
        <v>0</v>
      </c>
      <c r="G735" s="8"/>
      <c r="H735" s="7">
        <f t="shared" si="122"/>
        <v>0</v>
      </c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9">
        <f t="shared" ref="S735:S794" si="126">F735+G735-J735-K735-L735+M735+O735-P735-R735</f>
        <v>0</v>
      </c>
      <c r="T735" s="10">
        <f t="shared" ref="T735:T794" si="127">H735+I735+N735+R735-Q735</f>
        <v>0</v>
      </c>
      <c r="U735" s="10"/>
    </row>
    <row r="736" spans="1:21">
      <c r="A736" s="6"/>
      <c r="B736" s="11" t="s">
        <v>84</v>
      </c>
      <c r="C736" s="7" t="s">
        <v>26</v>
      </c>
      <c r="D736" s="7"/>
      <c r="E736" s="7"/>
      <c r="F736" s="7">
        <f t="shared" si="125"/>
        <v>28</v>
      </c>
      <c r="G736" s="8"/>
      <c r="H736" s="7">
        <f t="shared" si="122"/>
        <v>0</v>
      </c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9">
        <f t="shared" si="126"/>
        <v>28</v>
      </c>
      <c r="T736" s="10">
        <f t="shared" si="127"/>
        <v>0</v>
      </c>
      <c r="U736" s="10"/>
    </row>
    <row r="737" spans="1:21">
      <c r="A737" s="6"/>
      <c r="B737" s="11" t="s">
        <v>85</v>
      </c>
      <c r="C737" s="7" t="s">
        <v>61</v>
      </c>
      <c r="D737" s="7"/>
      <c r="E737" s="7"/>
      <c r="F737" s="7">
        <f t="shared" si="125"/>
        <v>0</v>
      </c>
      <c r="G737" s="8"/>
      <c r="H737" s="7">
        <f t="shared" si="122"/>
        <v>0</v>
      </c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9">
        <f t="shared" si="126"/>
        <v>0</v>
      </c>
      <c r="T737" s="10">
        <f t="shared" si="127"/>
        <v>0</v>
      </c>
      <c r="U737" s="10"/>
    </row>
    <row r="738" spans="1:21">
      <c r="A738" s="6"/>
      <c r="B738" s="11" t="s">
        <v>86</v>
      </c>
      <c r="C738" s="7" t="s">
        <v>61</v>
      </c>
      <c r="D738" s="7"/>
      <c r="E738" s="7"/>
      <c r="F738" s="7">
        <f t="shared" si="125"/>
        <v>10</v>
      </c>
      <c r="G738" s="8"/>
      <c r="H738" s="7">
        <f t="shared" si="122"/>
        <v>0</v>
      </c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9">
        <f t="shared" si="126"/>
        <v>10</v>
      </c>
      <c r="T738" s="10">
        <f t="shared" si="127"/>
        <v>0</v>
      </c>
      <c r="U738" s="10"/>
    </row>
    <row r="739" spans="1:21">
      <c r="A739" s="6"/>
      <c r="B739" s="11" t="s">
        <v>87</v>
      </c>
      <c r="C739" s="7" t="s">
        <v>26</v>
      </c>
      <c r="D739" s="7"/>
      <c r="E739" s="7"/>
      <c r="F739" s="7">
        <f t="shared" si="125"/>
        <v>0</v>
      </c>
      <c r="G739" s="8"/>
      <c r="H739" s="7">
        <f t="shared" si="122"/>
        <v>0</v>
      </c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9">
        <f t="shared" si="126"/>
        <v>0</v>
      </c>
      <c r="T739" s="10">
        <f t="shared" si="127"/>
        <v>0</v>
      </c>
      <c r="U739" s="10"/>
    </row>
    <row r="740" spans="1:21">
      <c r="A740" s="6"/>
      <c r="B740" s="11" t="s">
        <v>88</v>
      </c>
      <c r="C740" s="10"/>
      <c r="D740" s="7"/>
      <c r="E740" s="7"/>
      <c r="F740" s="7">
        <f t="shared" si="125"/>
        <v>65</v>
      </c>
      <c r="G740" s="8"/>
      <c r="H740" s="7">
        <f t="shared" si="122"/>
        <v>0</v>
      </c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9">
        <f t="shared" si="126"/>
        <v>65</v>
      </c>
      <c r="T740" s="10">
        <f t="shared" si="127"/>
        <v>0</v>
      </c>
      <c r="U740" s="10"/>
    </row>
    <row r="741" spans="1:21">
      <c r="A741" s="6"/>
      <c r="B741" s="11" t="s">
        <v>89</v>
      </c>
      <c r="C741" s="7" t="s">
        <v>26</v>
      </c>
      <c r="D741" s="7"/>
      <c r="E741" s="7"/>
      <c r="F741" s="7">
        <f t="shared" si="125"/>
        <v>858</v>
      </c>
      <c r="G741" s="8"/>
      <c r="H741" s="7">
        <f t="shared" si="122"/>
        <v>0</v>
      </c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9">
        <f t="shared" si="126"/>
        <v>858</v>
      </c>
      <c r="T741" s="10">
        <f t="shared" si="127"/>
        <v>0</v>
      </c>
      <c r="U741" s="10"/>
    </row>
    <row r="742" spans="1:21">
      <c r="A742" s="6"/>
      <c r="B742" s="11" t="s">
        <v>90</v>
      </c>
      <c r="C742" s="7" t="s">
        <v>26</v>
      </c>
      <c r="D742" s="7"/>
      <c r="E742" s="7"/>
      <c r="F742" s="7">
        <f t="shared" si="125"/>
        <v>0</v>
      </c>
      <c r="G742" s="8"/>
      <c r="H742" s="7">
        <f t="shared" si="122"/>
        <v>0</v>
      </c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9">
        <f t="shared" si="126"/>
        <v>0</v>
      </c>
      <c r="T742" s="10">
        <f t="shared" si="127"/>
        <v>0</v>
      </c>
      <c r="U742" s="10"/>
    </row>
    <row r="743" spans="1:21">
      <c r="A743" s="6"/>
      <c r="B743" s="11" t="s">
        <v>91</v>
      </c>
      <c r="C743" s="7" t="s">
        <v>26</v>
      </c>
      <c r="D743" s="7"/>
      <c r="E743" s="7"/>
      <c r="F743" s="7">
        <f t="shared" si="125"/>
        <v>138</v>
      </c>
      <c r="G743" s="8"/>
      <c r="H743" s="7">
        <f t="shared" si="122"/>
        <v>0</v>
      </c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9">
        <f t="shared" si="126"/>
        <v>138</v>
      </c>
      <c r="T743" s="10">
        <f t="shared" si="127"/>
        <v>0</v>
      </c>
      <c r="U743" s="10"/>
    </row>
    <row r="744" spans="1:21">
      <c r="A744" s="6"/>
      <c r="B744" s="12" t="s">
        <v>92</v>
      </c>
      <c r="C744" s="13" t="s">
        <v>26</v>
      </c>
      <c r="D744" s="7"/>
      <c r="E744" s="7"/>
      <c r="F744" s="7">
        <f t="shared" si="125"/>
        <v>60</v>
      </c>
      <c r="G744" s="8">
        <v>48</v>
      </c>
      <c r="H744" s="7">
        <f t="shared" si="122"/>
        <v>0</v>
      </c>
      <c r="I744" s="7"/>
      <c r="J744" s="7">
        <v>108</v>
      </c>
      <c r="K744" s="7"/>
      <c r="L744" s="7"/>
      <c r="M744" s="7"/>
      <c r="N744" s="7"/>
      <c r="O744" s="7"/>
      <c r="P744" s="7"/>
      <c r="Q744" s="7"/>
      <c r="R744" s="7"/>
      <c r="S744" s="9">
        <f t="shared" si="126"/>
        <v>0</v>
      </c>
      <c r="T744" s="10">
        <f t="shared" si="127"/>
        <v>0</v>
      </c>
      <c r="U744" s="10"/>
    </row>
    <row r="745" spans="1:21">
      <c r="A745" s="6"/>
      <c r="B745" s="12" t="s">
        <v>93</v>
      </c>
      <c r="C745" s="13" t="s">
        <v>26</v>
      </c>
      <c r="D745" s="7"/>
      <c r="E745" s="7"/>
      <c r="F745" s="7">
        <f t="shared" si="125"/>
        <v>3337</v>
      </c>
      <c r="G745" s="8"/>
      <c r="H745" s="7">
        <f t="shared" si="122"/>
        <v>0</v>
      </c>
      <c r="I745" s="7"/>
      <c r="J745" s="7"/>
      <c r="K745" s="7"/>
      <c r="L745" s="7"/>
      <c r="M745" s="7">
        <v>47</v>
      </c>
      <c r="N745" s="7"/>
      <c r="O745" s="7"/>
      <c r="P745" s="7">
        <v>1152</v>
      </c>
      <c r="Q745" s="7"/>
      <c r="R745" s="7"/>
      <c r="S745" s="9">
        <f t="shared" si="126"/>
        <v>2232</v>
      </c>
      <c r="T745" s="10">
        <f t="shared" si="127"/>
        <v>0</v>
      </c>
      <c r="U745" s="10"/>
    </row>
    <row r="746" spans="1:21">
      <c r="A746" s="6"/>
      <c r="B746" s="11" t="s">
        <v>94</v>
      </c>
      <c r="C746" s="7" t="s">
        <v>41</v>
      </c>
      <c r="D746" s="7"/>
      <c r="E746" s="7"/>
      <c r="F746" s="7">
        <f t="shared" ref="F746:F766" si="128">S661</f>
        <v>0</v>
      </c>
      <c r="G746" s="8"/>
      <c r="H746" s="7">
        <f t="shared" si="122"/>
        <v>0</v>
      </c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9">
        <f t="shared" si="126"/>
        <v>0</v>
      </c>
      <c r="T746" s="10">
        <f t="shared" si="127"/>
        <v>0</v>
      </c>
      <c r="U746" s="10"/>
    </row>
    <row r="747" spans="1:21">
      <c r="A747" s="6"/>
      <c r="B747" s="11" t="s">
        <v>95</v>
      </c>
      <c r="C747" s="7" t="s">
        <v>41</v>
      </c>
      <c r="D747" s="7"/>
      <c r="E747" s="7"/>
      <c r="F747" s="7">
        <f t="shared" si="128"/>
        <v>39</v>
      </c>
      <c r="G747" s="8"/>
      <c r="H747" s="7">
        <f t="shared" si="122"/>
        <v>0</v>
      </c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9">
        <f t="shared" si="126"/>
        <v>39</v>
      </c>
      <c r="T747" s="10">
        <f t="shared" si="127"/>
        <v>0</v>
      </c>
      <c r="U747" s="10"/>
    </row>
    <row r="748" spans="1:21">
      <c r="A748" s="6"/>
      <c r="B748" s="11" t="s">
        <v>96</v>
      </c>
      <c r="C748" s="7" t="s">
        <v>41</v>
      </c>
      <c r="D748" s="7"/>
      <c r="E748" s="7"/>
      <c r="F748" s="7">
        <f t="shared" si="128"/>
        <v>0</v>
      </c>
      <c r="G748" s="8"/>
      <c r="H748" s="7">
        <f t="shared" si="122"/>
        <v>0</v>
      </c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9">
        <f t="shared" si="126"/>
        <v>0</v>
      </c>
      <c r="T748" s="10">
        <f t="shared" si="127"/>
        <v>0</v>
      </c>
      <c r="U748" s="10"/>
    </row>
    <row r="749" spans="1:21">
      <c r="A749" s="6"/>
      <c r="B749" s="11" t="s">
        <v>97</v>
      </c>
      <c r="C749" s="7" t="s">
        <v>41</v>
      </c>
      <c r="D749" s="7"/>
      <c r="E749" s="7"/>
      <c r="F749" s="7">
        <f t="shared" si="128"/>
        <v>54</v>
      </c>
      <c r="G749" s="8"/>
      <c r="H749" s="7">
        <f t="shared" si="122"/>
        <v>0</v>
      </c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9">
        <f t="shared" si="126"/>
        <v>54</v>
      </c>
      <c r="T749" s="10">
        <f t="shared" si="127"/>
        <v>0</v>
      </c>
      <c r="U749" s="10"/>
    </row>
    <row r="750" spans="1:21">
      <c r="A750" s="6"/>
      <c r="B750" s="11" t="s">
        <v>98</v>
      </c>
      <c r="C750" s="7" t="s">
        <v>26</v>
      </c>
      <c r="D750" s="7"/>
      <c r="E750" s="7"/>
      <c r="F750" s="7">
        <f t="shared" si="128"/>
        <v>752</v>
      </c>
      <c r="G750" s="8"/>
      <c r="H750" s="7">
        <f t="shared" si="122"/>
        <v>0</v>
      </c>
      <c r="I750" s="7"/>
      <c r="J750" s="7">
        <v>96</v>
      </c>
      <c r="K750" s="7"/>
      <c r="L750" s="7"/>
      <c r="M750" s="7"/>
      <c r="N750" s="7"/>
      <c r="O750" s="7"/>
      <c r="P750" s="7"/>
      <c r="Q750" s="7"/>
      <c r="R750" s="7"/>
      <c r="S750" s="9">
        <f t="shared" si="126"/>
        <v>656</v>
      </c>
      <c r="T750" s="10">
        <f t="shared" si="127"/>
        <v>0</v>
      </c>
      <c r="U750" s="10"/>
    </row>
    <row r="751" spans="1:21">
      <c r="A751" s="6"/>
      <c r="B751" s="11" t="s">
        <v>99</v>
      </c>
      <c r="C751" s="7" t="s">
        <v>26</v>
      </c>
      <c r="D751" s="7"/>
      <c r="E751" s="7"/>
      <c r="F751" s="7">
        <f t="shared" si="128"/>
        <v>1084</v>
      </c>
      <c r="G751" s="8"/>
      <c r="H751" s="7">
        <f t="shared" si="122"/>
        <v>0</v>
      </c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9">
        <f t="shared" si="126"/>
        <v>1084</v>
      </c>
      <c r="T751" s="10">
        <f t="shared" si="127"/>
        <v>0</v>
      </c>
      <c r="U751" s="10"/>
    </row>
    <row r="752" spans="1:21">
      <c r="A752" s="6"/>
      <c r="B752" s="11" t="s">
        <v>100</v>
      </c>
      <c r="C752" s="7" t="s">
        <v>26</v>
      </c>
      <c r="D752" s="7"/>
      <c r="E752" s="7"/>
      <c r="F752" s="7">
        <f t="shared" si="128"/>
        <v>310</v>
      </c>
      <c r="G752" s="8"/>
      <c r="H752" s="7">
        <f t="shared" si="122"/>
        <v>0</v>
      </c>
      <c r="I752" s="7"/>
      <c r="J752" s="7">
        <v>29</v>
      </c>
      <c r="K752" s="7"/>
      <c r="L752" s="7"/>
      <c r="M752" s="7"/>
      <c r="N752" s="7"/>
      <c r="O752" s="7"/>
      <c r="P752" s="7"/>
      <c r="Q752" s="7"/>
      <c r="R752" s="7"/>
      <c r="S752" s="9">
        <f t="shared" si="126"/>
        <v>281</v>
      </c>
      <c r="T752" s="10">
        <f t="shared" si="127"/>
        <v>0</v>
      </c>
      <c r="U752" s="10"/>
    </row>
    <row r="753" spans="1:25">
      <c r="A753" s="6"/>
      <c r="B753" s="11" t="s">
        <v>101</v>
      </c>
      <c r="C753" s="7" t="s">
        <v>26</v>
      </c>
      <c r="D753" s="7"/>
      <c r="E753" s="7"/>
      <c r="F753" s="7">
        <f t="shared" si="128"/>
        <v>261</v>
      </c>
      <c r="G753" s="8"/>
      <c r="H753" s="7">
        <f t="shared" si="122"/>
        <v>0</v>
      </c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9">
        <f t="shared" si="126"/>
        <v>261</v>
      </c>
      <c r="T753" s="10">
        <f t="shared" si="127"/>
        <v>0</v>
      </c>
      <c r="U753" s="10"/>
    </row>
    <row r="754" spans="1:25">
      <c r="A754" s="6"/>
      <c r="B754" s="11" t="s">
        <v>102</v>
      </c>
      <c r="C754" s="7" t="s">
        <v>26</v>
      </c>
      <c r="D754" s="7"/>
      <c r="E754" s="7"/>
      <c r="F754" s="7">
        <f t="shared" si="128"/>
        <v>928</v>
      </c>
      <c r="G754" s="8"/>
      <c r="H754" s="7">
        <f t="shared" si="122"/>
        <v>0</v>
      </c>
      <c r="I754" s="7"/>
      <c r="J754" s="7"/>
      <c r="K754" s="7"/>
      <c r="L754" s="7"/>
      <c r="M754" s="7"/>
      <c r="N754" s="7"/>
      <c r="O754" s="7">
        <v>22</v>
      </c>
      <c r="P754" s="7"/>
      <c r="Q754" s="7"/>
      <c r="R754" s="7"/>
      <c r="S754" s="9">
        <f t="shared" si="126"/>
        <v>950</v>
      </c>
      <c r="T754" s="10">
        <f t="shared" si="127"/>
        <v>0</v>
      </c>
      <c r="U754" s="10"/>
    </row>
    <row r="755" spans="1:25">
      <c r="A755" s="6"/>
      <c r="B755" s="11" t="s">
        <v>103</v>
      </c>
      <c r="C755" s="7" t="s">
        <v>26</v>
      </c>
      <c r="D755" s="7"/>
      <c r="E755" s="7"/>
      <c r="F755" s="7">
        <f t="shared" si="128"/>
        <v>280</v>
      </c>
      <c r="G755" s="8"/>
      <c r="H755" s="7">
        <f t="shared" si="122"/>
        <v>0</v>
      </c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9">
        <f t="shared" si="126"/>
        <v>280</v>
      </c>
      <c r="T755" s="10">
        <f t="shared" si="127"/>
        <v>0</v>
      </c>
      <c r="U755" s="10"/>
    </row>
    <row r="756" spans="1:25">
      <c r="A756" s="6"/>
      <c r="B756" s="11" t="s">
        <v>112</v>
      </c>
      <c r="C756" s="7" t="s">
        <v>113</v>
      </c>
      <c r="D756" s="7"/>
      <c r="E756" s="7"/>
      <c r="F756" s="7">
        <f t="shared" si="128"/>
        <v>1483</v>
      </c>
      <c r="G756" s="8"/>
      <c r="H756" s="7">
        <f t="shared" si="122"/>
        <v>0</v>
      </c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9">
        <f t="shared" si="126"/>
        <v>1483</v>
      </c>
      <c r="T756" s="10">
        <f t="shared" si="127"/>
        <v>0</v>
      </c>
      <c r="U756" s="10"/>
    </row>
    <row r="757" spans="1:25">
      <c r="A757" s="6"/>
      <c r="B757" s="11"/>
      <c r="C757" s="7"/>
      <c r="D757" s="7"/>
      <c r="E757" s="7"/>
      <c r="F757" s="7">
        <f t="shared" si="128"/>
        <v>0</v>
      </c>
      <c r="G757" s="8"/>
      <c r="H757" s="7">
        <f t="shared" si="122"/>
        <v>0</v>
      </c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9">
        <f t="shared" si="126"/>
        <v>0</v>
      </c>
      <c r="T757" s="10">
        <f t="shared" si="127"/>
        <v>0</v>
      </c>
      <c r="U757" s="10"/>
    </row>
    <row r="758" spans="1:25">
      <c r="A758" s="6"/>
      <c r="B758" s="11"/>
      <c r="C758" s="7"/>
      <c r="D758" s="7"/>
      <c r="E758" s="7"/>
      <c r="F758" s="7">
        <f t="shared" si="128"/>
        <v>0</v>
      </c>
      <c r="G758" s="8"/>
      <c r="H758" s="7">
        <f t="shared" si="122"/>
        <v>0</v>
      </c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9">
        <f t="shared" si="126"/>
        <v>0</v>
      </c>
      <c r="T758" s="10">
        <f t="shared" si="127"/>
        <v>0</v>
      </c>
      <c r="U758" s="10"/>
    </row>
    <row r="759" spans="1:25">
      <c r="A759" s="6"/>
      <c r="B759" s="11"/>
      <c r="C759" s="7"/>
      <c r="D759" s="7"/>
      <c r="E759" s="7"/>
      <c r="F759" s="7">
        <f t="shared" si="128"/>
        <v>0</v>
      </c>
      <c r="G759" s="8"/>
      <c r="H759" s="7">
        <f t="shared" si="122"/>
        <v>0</v>
      </c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9">
        <f t="shared" si="126"/>
        <v>0</v>
      </c>
      <c r="T759" s="10">
        <f t="shared" si="127"/>
        <v>0</v>
      </c>
      <c r="U759" s="10"/>
    </row>
    <row r="760" spans="1:25">
      <c r="A760" s="6"/>
      <c r="B760" s="11"/>
      <c r="C760" s="7"/>
      <c r="D760" s="7"/>
      <c r="E760" s="7"/>
      <c r="F760" s="7">
        <f t="shared" si="128"/>
        <v>0</v>
      </c>
      <c r="G760" s="8"/>
      <c r="H760" s="7">
        <f t="shared" ref="H760:H776" si="129">T675</f>
        <v>0</v>
      </c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9">
        <f t="shared" si="126"/>
        <v>0</v>
      </c>
      <c r="T760" s="10">
        <f t="shared" si="127"/>
        <v>0</v>
      </c>
      <c r="U760" s="10"/>
    </row>
    <row r="761" spans="1:25">
      <c r="A761" s="6"/>
      <c r="B761" s="11"/>
      <c r="C761" s="7"/>
      <c r="D761" s="7"/>
      <c r="E761" s="7"/>
      <c r="F761" s="7">
        <f t="shared" si="128"/>
        <v>0</v>
      </c>
      <c r="G761" s="8"/>
      <c r="H761" s="7">
        <f t="shared" si="129"/>
        <v>0</v>
      </c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9">
        <f t="shared" si="126"/>
        <v>0</v>
      </c>
      <c r="T761" s="10">
        <f t="shared" si="127"/>
        <v>0</v>
      </c>
      <c r="U761" s="10"/>
    </row>
    <row r="762" spans="1:25">
      <c r="A762" s="6"/>
      <c r="B762" s="11"/>
      <c r="C762" s="7"/>
      <c r="D762" s="7"/>
      <c r="E762" s="7"/>
      <c r="F762" s="7">
        <f t="shared" si="128"/>
        <v>0</v>
      </c>
      <c r="G762" s="8"/>
      <c r="H762" s="7">
        <f t="shared" si="129"/>
        <v>0</v>
      </c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9">
        <f t="shared" si="126"/>
        <v>0</v>
      </c>
      <c r="T762" s="10">
        <f t="shared" si="127"/>
        <v>0</v>
      </c>
      <c r="U762" s="10"/>
    </row>
    <row r="763" spans="1:25">
      <c r="A763" s="6"/>
      <c r="B763" s="11"/>
      <c r="C763" s="7"/>
      <c r="D763" s="7"/>
      <c r="E763" s="7"/>
      <c r="F763" s="7">
        <f t="shared" si="128"/>
        <v>0</v>
      </c>
      <c r="G763" s="8"/>
      <c r="H763" s="7">
        <f t="shared" si="129"/>
        <v>0</v>
      </c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9">
        <f t="shared" si="126"/>
        <v>0</v>
      </c>
      <c r="T763" s="10">
        <f t="shared" si="127"/>
        <v>0</v>
      </c>
      <c r="U763" s="10"/>
    </row>
    <row r="764" spans="1:25">
      <c r="A764" s="6"/>
      <c r="B764" s="11"/>
      <c r="C764" s="7"/>
      <c r="D764" s="7"/>
      <c r="E764" s="7"/>
      <c r="F764" s="7">
        <f t="shared" si="128"/>
        <v>0</v>
      </c>
      <c r="G764" s="8"/>
      <c r="H764" s="7">
        <f t="shared" si="129"/>
        <v>0</v>
      </c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9">
        <f t="shared" si="126"/>
        <v>0</v>
      </c>
      <c r="T764" s="10">
        <f t="shared" si="127"/>
        <v>0</v>
      </c>
      <c r="U764" s="10"/>
    </row>
    <row r="765" spans="1:25">
      <c r="A765" s="6"/>
      <c r="B765" s="11"/>
      <c r="C765" s="7"/>
      <c r="D765" s="7"/>
      <c r="E765" s="7"/>
      <c r="F765" s="7">
        <f t="shared" si="128"/>
        <v>0</v>
      </c>
      <c r="G765" s="8"/>
      <c r="H765" s="7">
        <f t="shared" si="129"/>
        <v>0</v>
      </c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9">
        <f t="shared" si="126"/>
        <v>0</v>
      </c>
      <c r="T765" s="10">
        <f t="shared" si="127"/>
        <v>0</v>
      </c>
      <c r="U765" s="10"/>
    </row>
    <row r="766" spans="1:25">
      <c r="A766" s="6"/>
      <c r="B766" s="11"/>
      <c r="C766" s="7"/>
      <c r="D766" s="7"/>
      <c r="E766" s="7"/>
      <c r="F766" s="7">
        <f t="shared" si="128"/>
        <v>0</v>
      </c>
      <c r="G766" s="8"/>
      <c r="H766" s="7">
        <f t="shared" si="129"/>
        <v>0</v>
      </c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9">
        <f t="shared" si="126"/>
        <v>0</v>
      </c>
      <c r="T766" s="10">
        <f t="shared" si="127"/>
        <v>0</v>
      </c>
      <c r="U766" s="10"/>
      <c r="V766">
        <f>X766*0.1</f>
        <v>0</v>
      </c>
      <c r="W766">
        <f>E766*S766*1.5</f>
        <v>0</v>
      </c>
      <c r="X766">
        <f>J766+K766</f>
        <v>0</v>
      </c>
      <c r="Y766">
        <f>X766*0.13</f>
        <v>0</v>
      </c>
    </row>
    <row r="767" spans="1:25">
      <c r="A767" s="6">
        <v>46152</v>
      </c>
      <c r="B767" t="s">
        <v>25</v>
      </c>
      <c r="C767" s="7" t="s">
        <v>26</v>
      </c>
      <c r="D767" s="7"/>
      <c r="E767" s="7"/>
      <c r="F767" s="7">
        <f t="shared" ref="F766:F778" si="130">S682</f>
        <v>1270</v>
      </c>
      <c r="G767" s="8"/>
      <c r="H767" s="7">
        <f t="shared" si="129"/>
        <v>0</v>
      </c>
      <c r="I767" s="7"/>
      <c r="J767" s="7">
        <v>120</v>
      </c>
      <c r="K767" s="7"/>
      <c r="L767" s="7"/>
      <c r="M767" s="7"/>
      <c r="N767" s="7"/>
      <c r="O767" s="7"/>
      <c r="P767" s="7"/>
      <c r="Q767" s="7"/>
      <c r="R767" s="7"/>
      <c r="S767" s="9">
        <f t="shared" si="126"/>
        <v>1150</v>
      </c>
      <c r="T767" s="10">
        <f t="shared" si="127"/>
        <v>0</v>
      </c>
      <c r="U767" s="10"/>
      <c r="V767">
        <f t="shared" ref="V767:V773" si="131">X767*0.1</f>
        <v>12</v>
      </c>
      <c r="W767">
        <f t="shared" ref="W767:W773" si="132">E767*S767*1.5</f>
        <v>0</v>
      </c>
      <c r="X767">
        <f t="shared" ref="X767:X773" si="133">J767+K767</f>
        <v>120</v>
      </c>
      <c r="Y767">
        <f t="shared" ref="Y767:Y773" si="134">X767*0.13</f>
        <v>15.6</v>
      </c>
    </row>
    <row r="768" spans="1:25">
      <c r="A768" s="6"/>
      <c r="B768" t="s">
        <v>27</v>
      </c>
      <c r="C768" s="7" t="s">
        <v>26</v>
      </c>
      <c r="D768" s="7"/>
      <c r="E768" s="7"/>
      <c r="F768" s="7">
        <f t="shared" si="130"/>
        <v>515</v>
      </c>
      <c r="G768" s="8"/>
      <c r="H768" s="7">
        <f t="shared" si="129"/>
        <v>0</v>
      </c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9">
        <f t="shared" si="126"/>
        <v>515</v>
      </c>
      <c r="T768" s="10">
        <f t="shared" si="127"/>
        <v>0</v>
      </c>
      <c r="U768" s="10"/>
      <c r="V768">
        <f t="shared" si="131"/>
        <v>0</v>
      </c>
      <c r="W768">
        <f t="shared" si="132"/>
        <v>0</v>
      </c>
      <c r="X768">
        <f t="shared" si="133"/>
        <v>0</v>
      </c>
      <c r="Y768">
        <f t="shared" si="134"/>
        <v>0</v>
      </c>
    </row>
    <row r="769" spans="1:25">
      <c r="A769" s="6"/>
      <c r="B769" s="6" t="s">
        <v>28</v>
      </c>
      <c r="C769" s="7" t="s">
        <v>26</v>
      </c>
      <c r="D769" s="7"/>
      <c r="E769" s="7"/>
      <c r="F769" s="7">
        <f t="shared" si="130"/>
        <v>1494</v>
      </c>
      <c r="G769" s="8"/>
      <c r="H769" s="7">
        <f t="shared" si="129"/>
        <v>0</v>
      </c>
      <c r="I769" s="7"/>
      <c r="J769" s="7">
        <v>98</v>
      </c>
      <c r="K769" s="7"/>
      <c r="L769" s="7"/>
      <c r="M769" s="7"/>
      <c r="N769" s="7"/>
      <c r="O769" s="7"/>
      <c r="P769" s="7"/>
      <c r="Q769" s="7"/>
      <c r="R769" s="7"/>
      <c r="S769" s="9">
        <f t="shared" si="126"/>
        <v>1396</v>
      </c>
      <c r="T769" s="10">
        <f t="shared" si="127"/>
        <v>0</v>
      </c>
      <c r="U769" s="10"/>
      <c r="V769">
        <f t="shared" si="131"/>
        <v>9.8</v>
      </c>
      <c r="W769">
        <f t="shared" si="132"/>
        <v>0</v>
      </c>
      <c r="X769">
        <f t="shared" si="133"/>
        <v>98</v>
      </c>
      <c r="Y769">
        <f t="shared" si="134"/>
        <v>12.74</v>
      </c>
    </row>
    <row r="770" spans="1:25">
      <c r="A770" s="6"/>
      <c r="B770" s="6" t="s">
        <v>29</v>
      </c>
      <c r="C770" s="7" t="s">
        <v>26</v>
      </c>
      <c r="D770" s="7"/>
      <c r="E770" s="7"/>
      <c r="F770" s="7">
        <f t="shared" si="130"/>
        <v>187</v>
      </c>
      <c r="G770" s="8"/>
      <c r="H770" s="7">
        <f t="shared" si="129"/>
        <v>0</v>
      </c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9">
        <f t="shared" si="126"/>
        <v>187</v>
      </c>
      <c r="T770" s="10">
        <f t="shared" si="127"/>
        <v>0</v>
      </c>
      <c r="U770" s="10"/>
      <c r="V770">
        <f t="shared" si="131"/>
        <v>0</v>
      </c>
      <c r="W770">
        <f t="shared" si="132"/>
        <v>0</v>
      </c>
      <c r="X770">
        <f t="shared" si="133"/>
        <v>0</v>
      </c>
      <c r="Y770">
        <f t="shared" si="134"/>
        <v>0</v>
      </c>
    </row>
    <row r="771" spans="1:25">
      <c r="A771" s="6"/>
      <c r="B771" s="6" t="s">
        <v>30</v>
      </c>
      <c r="C771" s="7" t="s">
        <v>26</v>
      </c>
      <c r="D771" s="7"/>
      <c r="E771" s="7"/>
      <c r="F771" s="7">
        <f t="shared" si="130"/>
        <v>1931</v>
      </c>
      <c r="G771" s="8"/>
      <c r="H771" s="7">
        <f t="shared" si="129"/>
        <v>0</v>
      </c>
      <c r="I771" s="7"/>
      <c r="J771" s="7">
        <v>65</v>
      </c>
      <c r="K771" s="7">
        <v>10</v>
      </c>
      <c r="L771" s="7"/>
      <c r="M771" s="7"/>
      <c r="N771" s="7"/>
      <c r="O771" s="7"/>
      <c r="P771" s="7"/>
      <c r="Q771" s="7"/>
      <c r="R771" s="7"/>
      <c r="S771" s="9">
        <f t="shared" si="126"/>
        <v>1856</v>
      </c>
      <c r="T771" s="10">
        <f t="shared" si="127"/>
        <v>0</v>
      </c>
      <c r="U771" s="10"/>
      <c r="V771">
        <f t="shared" si="131"/>
        <v>7.5</v>
      </c>
      <c r="W771">
        <f t="shared" si="132"/>
        <v>0</v>
      </c>
      <c r="X771">
        <f t="shared" si="133"/>
        <v>75</v>
      </c>
      <c r="Y771">
        <f t="shared" si="134"/>
        <v>9.75</v>
      </c>
    </row>
    <row r="772" spans="1:25">
      <c r="A772" s="6"/>
      <c r="B772" s="6" t="s">
        <v>31</v>
      </c>
      <c r="C772" s="7" t="s">
        <v>26</v>
      </c>
      <c r="D772" s="7"/>
      <c r="E772" s="7"/>
      <c r="F772" s="7">
        <f t="shared" si="130"/>
        <v>1156</v>
      </c>
      <c r="G772" s="8"/>
      <c r="H772" s="7">
        <f t="shared" si="129"/>
        <v>0</v>
      </c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9">
        <f t="shared" si="126"/>
        <v>1156</v>
      </c>
      <c r="T772" s="10">
        <f t="shared" si="127"/>
        <v>0</v>
      </c>
      <c r="U772" s="10"/>
      <c r="V772">
        <f t="shared" si="131"/>
        <v>0</v>
      </c>
      <c r="W772">
        <f t="shared" si="132"/>
        <v>0</v>
      </c>
      <c r="X772">
        <f t="shared" si="133"/>
        <v>0</v>
      </c>
      <c r="Y772">
        <f t="shared" si="134"/>
        <v>0</v>
      </c>
    </row>
    <row r="773" spans="1:25">
      <c r="A773" s="6"/>
      <c r="B773" s="6" t="s">
        <v>32</v>
      </c>
      <c r="C773" s="7" t="s">
        <v>26</v>
      </c>
      <c r="D773" s="7"/>
      <c r="E773" s="7"/>
      <c r="F773" s="7">
        <f t="shared" si="130"/>
        <v>836</v>
      </c>
      <c r="G773" s="8"/>
      <c r="H773" s="7">
        <f t="shared" si="129"/>
        <v>0</v>
      </c>
      <c r="I773" s="7"/>
      <c r="J773" s="7">
        <v>120</v>
      </c>
      <c r="K773" s="7"/>
      <c r="L773" s="7"/>
      <c r="M773" s="7">
        <v>1</v>
      </c>
      <c r="N773" s="7"/>
      <c r="O773" s="7"/>
      <c r="P773" s="7"/>
      <c r="Q773" s="7"/>
      <c r="R773" s="7"/>
      <c r="S773" s="9">
        <f t="shared" si="126"/>
        <v>717</v>
      </c>
      <c r="T773" s="10">
        <f t="shared" si="127"/>
        <v>0</v>
      </c>
      <c r="U773" s="10"/>
      <c r="V773">
        <f t="shared" si="131"/>
        <v>12</v>
      </c>
      <c r="W773">
        <f t="shared" si="132"/>
        <v>0</v>
      </c>
      <c r="X773">
        <f t="shared" si="133"/>
        <v>120</v>
      </c>
      <c r="Y773">
        <f t="shared" si="134"/>
        <v>15.6</v>
      </c>
    </row>
    <row r="774" spans="1:25">
      <c r="A774" s="6"/>
      <c r="B774" s="6" t="s">
        <v>33</v>
      </c>
      <c r="C774" s="7" t="s">
        <v>26</v>
      </c>
      <c r="D774" s="7"/>
      <c r="E774" s="7"/>
      <c r="F774" s="7">
        <f t="shared" si="130"/>
        <v>1335</v>
      </c>
      <c r="G774" s="8"/>
      <c r="H774" s="7">
        <f t="shared" si="129"/>
        <v>0</v>
      </c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9">
        <f t="shared" si="126"/>
        <v>1335</v>
      </c>
      <c r="T774" s="10">
        <f t="shared" si="127"/>
        <v>0</v>
      </c>
      <c r="U774" s="10"/>
    </row>
    <row r="775" spans="1:25">
      <c r="A775" s="6"/>
      <c r="B775" s="11" t="s">
        <v>34</v>
      </c>
      <c r="C775" s="7" t="s">
        <v>26</v>
      </c>
      <c r="D775" s="7"/>
      <c r="E775" s="7"/>
      <c r="F775" s="7">
        <f t="shared" si="130"/>
        <v>17</v>
      </c>
      <c r="G775" s="8"/>
      <c r="H775" s="7">
        <f t="shared" si="129"/>
        <v>0</v>
      </c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9">
        <f t="shared" si="126"/>
        <v>17</v>
      </c>
      <c r="T775" s="10">
        <f t="shared" si="127"/>
        <v>0</v>
      </c>
      <c r="U775" s="10"/>
    </row>
    <row r="776" spans="1:25">
      <c r="A776" s="6"/>
      <c r="B776" s="11" t="s">
        <v>35</v>
      </c>
      <c r="C776" s="7" t="s">
        <v>26</v>
      </c>
      <c r="D776" s="7"/>
      <c r="E776" s="7"/>
      <c r="F776" s="7">
        <f t="shared" si="130"/>
        <v>120</v>
      </c>
      <c r="G776" s="8"/>
      <c r="H776" s="7">
        <f t="shared" si="129"/>
        <v>0</v>
      </c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9">
        <f t="shared" si="126"/>
        <v>120</v>
      </c>
      <c r="T776" s="10">
        <f t="shared" si="127"/>
        <v>0</v>
      </c>
      <c r="U776" s="10"/>
    </row>
    <row r="777" spans="1:25">
      <c r="A777" s="6"/>
      <c r="B777" s="11" t="s">
        <v>36</v>
      </c>
      <c r="C777" s="7" t="s">
        <v>26</v>
      </c>
      <c r="D777" s="7"/>
      <c r="E777" s="7"/>
      <c r="F777" s="7">
        <f t="shared" si="130"/>
        <v>0</v>
      </c>
      <c r="G777" s="8"/>
      <c r="H777" s="7">
        <f t="shared" ref="H777:H819" si="135">T692</f>
        <v>0</v>
      </c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9">
        <f t="shared" si="126"/>
        <v>0</v>
      </c>
      <c r="T777" s="10">
        <f t="shared" si="127"/>
        <v>0</v>
      </c>
      <c r="U777" s="10"/>
    </row>
    <row r="778" spans="1:25">
      <c r="A778" s="6"/>
      <c r="B778" s="11" t="s">
        <v>37</v>
      </c>
      <c r="C778" s="7" t="s">
        <v>26</v>
      </c>
      <c r="D778" s="7"/>
      <c r="E778" s="7"/>
      <c r="F778" s="7">
        <f t="shared" si="130"/>
        <v>24</v>
      </c>
      <c r="G778" s="8"/>
      <c r="H778" s="7">
        <f t="shared" si="135"/>
        <v>0</v>
      </c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9">
        <f t="shared" si="126"/>
        <v>24</v>
      </c>
      <c r="T778" s="10">
        <f t="shared" si="127"/>
        <v>0</v>
      </c>
      <c r="U778" s="10"/>
    </row>
    <row r="779" spans="1:25">
      <c r="A779" s="6"/>
      <c r="B779" s="11" t="s">
        <v>38</v>
      </c>
      <c r="C779" s="7" t="s">
        <v>26</v>
      </c>
      <c r="D779" s="7"/>
      <c r="E779" s="7"/>
      <c r="F779" s="7">
        <f t="shared" ref="F779:F790" si="136">S694</f>
        <v>0</v>
      </c>
      <c r="G779" s="8"/>
      <c r="H779" s="7">
        <f t="shared" si="135"/>
        <v>0</v>
      </c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9">
        <f t="shared" si="126"/>
        <v>0</v>
      </c>
      <c r="T779" s="10">
        <f t="shared" si="127"/>
        <v>0</v>
      </c>
      <c r="U779" s="10"/>
    </row>
    <row r="780" spans="1:25">
      <c r="A780" s="6"/>
      <c r="B780" s="11" t="s">
        <v>39</v>
      </c>
      <c r="C780" s="7" t="s">
        <v>26</v>
      </c>
      <c r="D780" s="7"/>
      <c r="E780" s="7"/>
      <c r="F780" s="7">
        <f t="shared" si="136"/>
        <v>1700</v>
      </c>
      <c r="G780" s="8"/>
      <c r="H780" s="7">
        <f t="shared" si="135"/>
        <v>0</v>
      </c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9">
        <f t="shared" si="126"/>
        <v>1700</v>
      </c>
      <c r="T780" s="10">
        <f t="shared" si="127"/>
        <v>0</v>
      </c>
      <c r="U780" s="10"/>
    </row>
    <row r="781" spans="1:25">
      <c r="A781" s="6"/>
      <c r="B781" s="11" t="s">
        <v>40</v>
      </c>
      <c r="C781" s="7" t="s">
        <v>41</v>
      </c>
      <c r="D781" s="7"/>
      <c r="E781" s="7"/>
      <c r="F781" s="7">
        <f t="shared" si="136"/>
        <v>0</v>
      </c>
      <c r="G781" s="8"/>
      <c r="H781" s="7">
        <f t="shared" si="135"/>
        <v>0</v>
      </c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9">
        <f t="shared" si="126"/>
        <v>0</v>
      </c>
      <c r="T781" s="10">
        <f t="shared" si="127"/>
        <v>0</v>
      </c>
      <c r="U781" s="10"/>
    </row>
    <row r="782" spans="1:25">
      <c r="A782" s="6"/>
      <c r="B782" s="11" t="s">
        <v>42</v>
      </c>
      <c r="C782" s="7" t="s">
        <v>41</v>
      </c>
      <c r="D782" s="7"/>
      <c r="E782" s="7"/>
      <c r="F782" s="7">
        <f t="shared" si="136"/>
        <v>53</v>
      </c>
      <c r="G782" s="8"/>
      <c r="H782" s="7">
        <f t="shared" si="135"/>
        <v>0</v>
      </c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9">
        <f t="shared" si="126"/>
        <v>53</v>
      </c>
      <c r="T782" s="10">
        <f t="shared" si="127"/>
        <v>0</v>
      </c>
      <c r="U782" s="10"/>
    </row>
    <row r="783" spans="1:25">
      <c r="A783" s="6"/>
      <c r="B783" s="11" t="s">
        <v>43</v>
      </c>
      <c r="C783" s="7" t="s">
        <v>41</v>
      </c>
      <c r="D783" s="7"/>
      <c r="E783" s="7"/>
      <c r="F783" s="7">
        <f t="shared" si="136"/>
        <v>0</v>
      </c>
      <c r="G783" s="8"/>
      <c r="H783" s="7">
        <f t="shared" si="135"/>
        <v>0</v>
      </c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9">
        <f t="shared" si="126"/>
        <v>0</v>
      </c>
      <c r="T783" s="10">
        <f t="shared" si="127"/>
        <v>0</v>
      </c>
      <c r="U783" s="10"/>
    </row>
    <row r="784" spans="1:25">
      <c r="A784" s="6"/>
      <c r="B784" s="11" t="s">
        <v>44</v>
      </c>
      <c r="C784" s="7" t="s">
        <v>41</v>
      </c>
      <c r="D784" s="7"/>
      <c r="E784" s="7"/>
      <c r="F784" s="7">
        <f t="shared" si="136"/>
        <v>75</v>
      </c>
      <c r="G784" s="8"/>
      <c r="H784" s="7">
        <f t="shared" si="135"/>
        <v>0</v>
      </c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9">
        <f t="shared" si="126"/>
        <v>75</v>
      </c>
      <c r="T784" s="10">
        <f t="shared" si="127"/>
        <v>0</v>
      </c>
      <c r="U784" s="10"/>
    </row>
    <row r="785" spans="1:21">
      <c r="A785" s="6"/>
      <c r="B785" s="11" t="s">
        <v>45</v>
      </c>
      <c r="C785" s="7" t="s">
        <v>41</v>
      </c>
      <c r="D785" s="7"/>
      <c r="E785" s="7"/>
      <c r="F785" s="7">
        <f t="shared" ref="F785:F810" si="137">S700</f>
        <v>0</v>
      </c>
      <c r="G785" s="8"/>
      <c r="H785" s="7">
        <f t="shared" si="135"/>
        <v>0</v>
      </c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9">
        <f t="shared" si="126"/>
        <v>0</v>
      </c>
      <c r="T785" s="10">
        <f t="shared" si="127"/>
        <v>0</v>
      </c>
      <c r="U785" s="10"/>
    </row>
    <row r="786" spans="1:21">
      <c r="A786" s="6"/>
      <c r="B786" s="11" t="s">
        <v>46</v>
      </c>
      <c r="C786" s="7" t="s">
        <v>41</v>
      </c>
      <c r="D786" s="7"/>
      <c r="E786" s="7"/>
      <c r="F786" s="7">
        <f t="shared" si="137"/>
        <v>17</v>
      </c>
      <c r="G786" s="8"/>
      <c r="H786" s="7">
        <f t="shared" si="135"/>
        <v>0</v>
      </c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9">
        <f t="shared" si="126"/>
        <v>17</v>
      </c>
      <c r="T786" s="10">
        <f t="shared" si="127"/>
        <v>0</v>
      </c>
      <c r="U786" s="10"/>
    </row>
    <row r="787" spans="1:21">
      <c r="A787" s="6"/>
      <c r="B787" s="11" t="s">
        <v>47</v>
      </c>
      <c r="C787" s="7" t="s">
        <v>26</v>
      </c>
      <c r="D787" s="7"/>
      <c r="E787" s="7"/>
      <c r="F787" s="7">
        <f t="shared" si="137"/>
        <v>0</v>
      </c>
      <c r="G787" s="8"/>
      <c r="H787" s="7">
        <f t="shared" si="135"/>
        <v>0</v>
      </c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9">
        <f t="shared" si="126"/>
        <v>0</v>
      </c>
      <c r="T787" s="10">
        <f t="shared" si="127"/>
        <v>0</v>
      </c>
      <c r="U787" s="10"/>
    </row>
    <row r="788" spans="1:21">
      <c r="A788" s="6"/>
      <c r="B788" s="11" t="s">
        <v>48</v>
      </c>
      <c r="C788" s="7" t="s">
        <v>26</v>
      </c>
      <c r="D788" s="7"/>
      <c r="E788" s="7"/>
      <c r="F788" s="7">
        <f t="shared" si="137"/>
        <v>38797</v>
      </c>
      <c r="G788" s="8"/>
      <c r="H788" s="7">
        <f t="shared" si="135"/>
        <v>0</v>
      </c>
      <c r="I788" s="7"/>
      <c r="J788" s="7">
        <v>1650</v>
      </c>
      <c r="K788" s="7"/>
      <c r="L788" s="7"/>
      <c r="M788" s="7"/>
      <c r="N788" s="7"/>
      <c r="O788" s="7"/>
      <c r="P788" s="7"/>
      <c r="Q788" s="7"/>
      <c r="R788" s="7"/>
      <c r="S788" s="9">
        <f t="shared" si="126"/>
        <v>37147</v>
      </c>
      <c r="T788" s="10">
        <f t="shared" si="127"/>
        <v>0</v>
      </c>
      <c r="U788" s="10" t="s">
        <v>114</v>
      </c>
    </row>
    <row r="789" spans="1:21">
      <c r="A789" s="6"/>
      <c r="B789" s="11" t="s">
        <v>50</v>
      </c>
      <c r="C789" s="7" t="s">
        <v>26</v>
      </c>
      <c r="D789" s="7"/>
      <c r="E789" s="7"/>
      <c r="F789" s="7">
        <f t="shared" si="137"/>
        <v>0</v>
      </c>
      <c r="G789" s="8"/>
      <c r="H789" s="7">
        <f t="shared" si="135"/>
        <v>0</v>
      </c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9">
        <f t="shared" si="126"/>
        <v>0</v>
      </c>
      <c r="T789" s="10">
        <f t="shared" si="127"/>
        <v>0</v>
      </c>
      <c r="U789" s="10"/>
    </row>
    <row r="790" spans="1:21">
      <c r="A790" s="6"/>
      <c r="B790" s="11" t="s">
        <v>51</v>
      </c>
      <c r="C790" s="7" t="s">
        <v>26</v>
      </c>
      <c r="D790" s="7"/>
      <c r="E790" s="7"/>
      <c r="F790" s="7">
        <f t="shared" si="137"/>
        <v>0</v>
      </c>
      <c r="G790" s="8"/>
      <c r="H790" s="7">
        <f t="shared" si="135"/>
        <v>0</v>
      </c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9">
        <f t="shared" si="126"/>
        <v>0</v>
      </c>
      <c r="T790" s="10">
        <f t="shared" si="127"/>
        <v>0</v>
      </c>
      <c r="U790" s="10"/>
    </row>
    <row r="791" spans="1:21">
      <c r="A791" s="6"/>
      <c r="B791" s="11" t="s">
        <v>52</v>
      </c>
      <c r="C791" s="7" t="s">
        <v>26</v>
      </c>
      <c r="D791" s="7"/>
      <c r="E791" s="7"/>
      <c r="F791" s="7">
        <f t="shared" si="137"/>
        <v>12430</v>
      </c>
      <c r="G791" s="8"/>
      <c r="H791" s="7">
        <f t="shared" si="135"/>
        <v>0</v>
      </c>
      <c r="I791" s="7"/>
      <c r="J791" s="7">
        <v>1128</v>
      </c>
      <c r="K791" s="7"/>
      <c r="L791" s="7"/>
      <c r="M791" s="7"/>
      <c r="N791" s="7"/>
      <c r="O791" s="7"/>
      <c r="P791" s="7"/>
      <c r="Q791" s="7"/>
      <c r="R791" s="7"/>
      <c r="S791" s="9">
        <f t="shared" si="126"/>
        <v>11302</v>
      </c>
      <c r="T791" s="10">
        <f t="shared" si="127"/>
        <v>0</v>
      </c>
      <c r="U791" s="10"/>
    </row>
    <row r="792" spans="1:21">
      <c r="A792" s="6"/>
      <c r="B792" s="11" t="s">
        <v>53</v>
      </c>
      <c r="C792" s="7" t="s">
        <v>54</v>
      </c>
      <c r="D792" s="7"/>
      <c r="E792" s="7"/>
      <c r="F792" s="7">
        <f t="shared" si="137"/>
        <v>0</v>
      </c>
      <c r="G792" s="8"/>
      <c r="H792" s="7">
        <f t="shared" si="135"/>
        <v>0</v>
      </c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9">
        <f t="shared" si="126"/>
        <v>0</v>
      </c>
      <c r="T792" s="10">
        <f t="shared" si="127"/>
        <v>0</v>
      </c>
      <c r="U792" s="10"/>
    </row>
    <row r="793" spans="1:21">
      <c r="A793" s="6"/>
      <c r="B793" s="11" t="s">
        <v>55</v>
      </c>
      <c r="C793" s="7" t="s">
        <v>54</v>
      </c>
      <c r="D793" s="7"/>
      <c r="E793" s="7"/>
      <c r="F793" s="7">
        <f t="shared" si="137"/>
        <v>15</v>
      </c>
      <c r="G793" s="8"/>
      <c r="H793" s="7">
        <f t="shared" si="135"/>
        <v>0</v>
      </c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9">
        <f t="shared" si="126"/>
        <v>15</v>
      </c>
      <c r="T793" s="10">
        <f t="shared" si="127"/>
        <v>0</v>
      </c>
      <c r="U793" s="10"/>
    </row>
    <row r="794" spans="1:21">
      <c r="A794" s="6"/>
      <c r="B794" s="11" t="s">
        <v>56</v>
      </c>
      <c r="C794" s="7" t="s">
        <v>54</v>
      </c>
      <c r="D794" s="7"/>
      <c r="E794" s="7"/>
      <c r="F794" s="7">
        <f t="shared" si="137"/>
        <v>614</v>
      </c>
      <c r="G794" s="8">
        <v>3082</v>
      </c>
      <c r="H794" s="7">
        <f t="shared" si="135"/>
        <v>0</v>
      </c>
      <c r="I794" s="7"/>
      <c r="J794" s="7">
        <v>110</v>
      </c>
      <c r="K794" s="7"/>
      <c r="L794" s="7"/>
      <c r="M794" s="7"/>
      <c r="N794" s="7"/>
      <c r="O794" s="7"/>
      <c r="P794" s="7"/>
      <c r="Q794" s="7"/>
      <c r="R794" s="7"/>
      <c r="S794" s="9">
        <f t="shared" si="126"/>
        <v>3586</v>
      </c>
      <c r="T794" s="10">
        <f t="shared" si="127"/>
        <v>0</v>
      </c>
      <c r="U794" s="10"/>
    </row>
    <row r="795" spans="1:21">
      <c r="A795" s="6"/>
      <c r="B795" s="11" t="s">
        <v>57</v>
      </c>
      <c r="C795" s="7" t="s">
        <v>54</v>
      </c>
      <c r="D795" s="7"/>
      <c r="E795" s="7"/>
      <c r="F795" s="7">
        <f t="shared" si="137"/>
        <v>512</v>
      </c>
      <c r="G795" s="8">
        <v>216</v>
      </c>
      <c r="H795" s="7">
        <f t="shared" si="135"/>
        <v>0</v>
      </c>
      <c r="I795" s="7"/>
      <c r="J795" s="7"/>
      <c r="K795" s="7"/>
      <c r="L795" s="7"/>
      <c r="M795" s="7">
        <v>22</v>
      </c>
      <c r="N795" s="7"/>
      <c r="O795" s="7"/>
      <c r="P795" s="7"/>
      <c r="Q795" s="7"/>
      <c r="R795" s="7"/>
      <c r="S795" s="9">
        <f t="shared" ref="S795:S858" si="138">F795+G795-J795-K795-L795+M795+O795-P795-R795</f>
        <v>750</v>
      </c>
      <c r="T795" s="10">
        <f t="shared" ref="T795:T858" si="139">H795+I795+N795+R795-Q795</f>
        <v>0</v>
      </c>
      <c r="U795" s="10"/>
    </row>
    <row r="796" spans="1:21">
      <c r="A796" s="6"/>
      <c r="B796" s="11" t="s">
        <v>58</v>
      </c>
      <c r="C796" s="7" t="s">
        <v>54</v>
      </c>
      <c r="D796" s="7"/>
      <c r="E796" s="7"/>
      <c r="F796" s="7">
        <f t="shared" si="137"/>
        <v>0</v>
      </c>
      <c r="G796" s="8"/>
      <c r="H796" s="7">
        <f t="shared" si="135"/>
        <v>0</v>
      </c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9">
        <f t="shared" si="138"/>
        <v>0</v>
      </c>
      <c r="T796" s="10">
        <f t="shared" si="139"/>
        <v>0</v>
      </c>
      <c r="U796" s="10"/>
    </row>
    <row r="797" spans="1:21">
      <c r="A797" s="6"/>
      <c r="B797" s="11" t="s">
        <v>59</v>
      </c>
      <c r="C797" s="7" t="s">
        <v>54</v>
      </c>
      <c r="D797" s="7"/>
      <c r="E797" s="7"/>
      <c r="F797" s="7">
        <f t="shared" si="137"/>
        <v>19</v>
      </c>
      <c r="G797" s="8"/>
      <c r="H797" s="7">
        <f t="shared" si="135"/>
        <v>0</v>
      </c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9">
        <f t="shared" si="138"/>
        <v>19</v>
      </c>
      <c r="T797" s="10">
        <f t="shared" si="139"/>
        <v>0</v>
      </c>
      <c r="U797" s="10"/>
    </row>
    <row r="798" spans="1:21">
      <c r="A798" s="6"/>
      <c r="B798" s="11" t="s">
        <v>60</v>
      </c>
      <c r="C798" s="7" t="s">
        <v>61</v>
      </c>
      <c r="D798" s="7"/>
      <c r="E798" s="7"/>
      <c r="F798" s="7">
        <f t="shared" si="137"/>
        <v>0</v>
      </c>
      <c r="G798" s="8"/>
      <c r="H798" s="7">
        <f t="shared" si="135"/>
        <v>0</v>
      </c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9">
        <f t="shared" si="138"/>
        <v>0</v>
      </c>
      <c r="T798" s="10">
        <f t="shared" si="139"/>
        <v>0</v>
      </c>
      <c r="U798" s="10"/>
    </row>
    <row r="799" spans="1:21">
      <c r="A799" s="6"/>
      <c r="B799" s="11" t="s">
        <v>62</v>
      </c>
      <c r="C799" s="7" t="s">
        <v>61</v>
      </c>
      <c r="D799" s="7"/>
      <c r="E799" s="7"/>
      <c r="F799" s="7">
        <f t="shared" si="137"/>
        <v>11</v>
      </c>
      <c r="G799" s="8"/>
      <c r="H799" s="7">
        <f t="shared" si="135"/>
        <v>0</v>
      </c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9">
        <f t="shared" si="138"/>
        <v>11</v>
      </c>
      <c r="T799" s="10">
        <f t="shared" si="139"/>
        <v>0</v>
      </c>
      <c r="U799" s="10"/>
    </row>
    <row r="800" spans="1:21">
      <c r="A800" s="6"/>
      <c r="B800" s="10" t="s">
        <v>63</v>
      </c>
      <c r="C800" s="10" t="s">
        <v>41</v>
      </c>
      <c r="D800" s="7"/>
      <c r="E800" s="7"/>
      <c r="F800" s="7">
        <f t="shared" si="137"/>
        <v>0</v>
      </c>
      <c r="G800" s="8"/>
      <c r="H800" s="7">
        <f t="shared" si="135"/>
        <v>0</v>
      </c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9">
        <f t="shared" si="138"/>
        <v>0</v>
      </c>
      <c r="T800" s="10">
        <f t="shared" si="139"/>
        <v>0</v>
      </c>
      <c r="U800" s="10"/>
    </row>
    <row r="801" spans="1:21">
      <c r="A801" s="6"/>
      <c r="B801" s="10" t="s">
        <v>64</v>
      </c>
      <c r="C801" s="10" t="s">
        <v>41</v>
      </c>
      <c r="D801" s="7"/>
      <c r="E801" s="7"/>
      <c r="F801" s="7">
        <f t="shared" si="137"/>
        <v>5</v>
      </c>
      <c r="G801" s="8"/>
      <c r="H801" s="7">
        <f t="shared" si="135"/>
        <v>0</v>
      </c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9">
        <f t="shared" si="138"/>
        <v>5</v>
      </c>
      <c r="T801" s="10">
        <f t="shared" si="139"/>
        <v>0</v>
      </c>
      <c r="U801" s="10"/>
    </row>
    <row r="802" spans="1:21">
      <c r="A802" s="6"/>
      <c r="B802" s="11" t="s">
        <v>65</v>
      </c>
      <c r="C802" s="7" t="s">
        <v>26</v>
      </c>
      <c r="D802" s="7"/>
      <c r="E802" s="7"/>
      <c r="F802" s="7">
        <f t="shared" si="137"/>
        <v>0</v>
      </c>
      <c r="G802" s="8"/>
      <c r="H802" s="7">
        <f t="shared" si="135"/>
        <v>0</v>
      </c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9">
        <f t="shared" si="138"/>
        <v>0</v>
      </c>
      <c r="T802" s="10">
        <f t="shared" si="139"/>
        <v>0</v>
      </c>
      <c r="U802" s="10"/>
    </row>
    <row r="803" spans="1:21">
      <c r="A803" s="6"/>
      <c r="B803" s="11" t="s">
        <v>66</v>
      </c>
      <c r="C803" s="7" t="s">
        <v>26</v>
      </c>
      <c r="D803" s="7"/>
      <c r="E803" s="7"/>
      <c r="F803" s="7">
        <f t="shared" si="137"/>
        <v>71</v>
      </c>
      <c r="G803" s="8"/>
      <c r="H803" s="7">
        <f t="shared" si="135"/>
        <v>0</v>
      </c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9">
        <f t="shared" si="138"/>
        <v>71</v>
      </c>
      <c r="T803" s="10">
        <f t="shared" si="139"/>
        <v>0</v>
      </c>
      <c r="U803" s="10"/>
    </row>
    <row r="804" spans="1:21">
      <c r="A804" s="6"/>
      <c r="B804" s="11" t="s">
        <v>67</v>
      </c>
      <c r="C804" s="7" t="s">
        <v>26</v>
      </c>
      <c r="D804" s="7"/>
      <c r="E804" s="7"/>
      <c r="F804" s="7">
        <f t="shared" si="137"/>
        <v>0</v>
      </c>
      <c r="G804" s="8"/>
      <c r="H804" s="7">
        <f t="shared" si="135"/>
        <v>0</v>
      </c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9">
        <f t="shared" si="138"/>
        <v>0</v>
      </c>
      <c r="T804" s="10">
        <f t="shared" si="139"/>
        <v>0</v>
      </c>
      <c r="U804" s="10"/>
    </row>
    <row r="805" spans="1:21">
      <c r="A805" s="6"/>
      <c r="B805" s="11" t="s">
        <v>68</v>
      </c>
      <c r="C805" s="7" t="s">
        <v>26</v>
      </c>
      <c r="D805" s="7"/>
      <c r="E805" s="7"/>
      <c r="F805" s="7">
        <f t="shared" si="137"/>
        <v>7</v>
      </c>
      <c r="G805" s="8"/>
      <c r="H805" s="7">
        <f t="shared" si="135"/>
        <v>0</v>
      </c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9">
        <f t="shared" si="138"/>
        <v>7</v>
      </c>
      <c r="T805" s="10">
        <f t="shared" si="139"/>
        <v>0</v>
      </c>
      <c r="U805" s="10"/>
    </row>
    <row r="806" spans="1:21">
      <c r="A806" s="6"/>
      <c r="B806" s="11" t="s">
        <v>69</v>
      </c>
      <c r="C806" s="7" t="s">
        <v>41</v>
      </c>
      <c r="D806" s="7"/>
      <c r="E806" s="7"/>
      <c r="F806" s="7">
        <f t="shared" ref="F806:F820" si="140">S721</f>
        <v>0</v>
      </c>
      <c r="G806" s="8"/>
      <c r="H806" s="7">
        <f t="shared" si="135"/>
        <v>0</v>
      </c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9">
        <f t="shared" si="138"/>
        <v>0</v>
      </c>
      <c r="T806" s="10">
        <f t="shared" si="139"/>
        <v>0</v>
      </c>
      <c r="U806" s="10"/>
    </row>
    <row r="807" spans="1:21">
      <c r="A807" s="6"/>
      <c r="B807" s="11" t="s">
        <v>70</v>
      </c>
      <c r="C807" s="7" t="s">
        <v>41</v>
      </c>
      <c r="D807" s="7"/>
      <c r="E807" s="7"/>
      <c r="F807" s="7">
        <f t="shared" si="140"/>
        <v>13</v>
      </c>
      <c r="G807" s="8"/>
      <c r="H807" s="7">
        <f t="shared" si="135"/>
        <v>0</v>
      </c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9">
        <f t="shared" si="138"/>
        <v>13</v>
      </c>
      <c r="T807" s="10">
        <f t="shared" si="139"/>
        <v>0</v>
      </c>
      <c r="U807" s="10"/>
    </row>
    <row r="808" spans="1:21">
      <c r="A808" s="6"/>
      <c r="B808" s="11" t="s">
        <v>71</v>
      </c>
      <c r="C808" s="7" t="s">
        <v>61</v>
      </c>
      <c r="D808" s="7"/>
      <c r="E808" s="7"/>
      <c r="F808" s="7">
        <f t="shared" si="140"/>
        <v>0</v>
      </c>
      <c r="G808" s="8"/>
      <c r="H808" s="7">
        <f t="shared" si="135"/>
        <v>0</v>
      </c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9">
        <f t="shared" si="138"/>
        <v>0</v>
      </c>
      <c r="T808" s="10">
        <f t="shared" si="139"/>
        <v>0</v>
      </c>
      <c r="U808" s="10"/>
    </row>
    <row r="809" spans="1:21">
      <c r="A809" s="6"/>
      <c r="B809" s="11" t="s">
        <v>72</v>
      </c>
      <c r="C809" s="7" t="s">
        <v>61</v>
      </c>
      <c r="D809" s="7"/>
      <c r="E809" s="7"/>
      <c r="F809" s="7">
        <f t="shared" si="140"/>
        <v>8</v>
      </c>
      <c r="G809" s="8"/>
      <c r="H809" s="7">
        <f t="shared" si="135"/>
        <v>0</v>
      </c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9">
        <f t="shared" si="138"/>
        <v>8</v>
      </c>
      <c r="T809" s="10">
        <f t="shared" si="139"/>
        <v>0</v>
      </c>
      <c r="U809" s="10"/>
    </row>
    <row r="810" spans="1:21">
      <c r="A810" s="6"/>
      <c r="B810" s="11" t="s">
        <v>73</v>
      </c>
      <c r="C810" s="7" t="s">
        <v>26</v>
      </c>
      <c r="D810" s="7"/>
      <c r="E810" s="7"/>
      <c r="F810" s="7">
        <f t="shared" si="140"/>
        <v>0</v>
      </c>
      <c r="G810" s="8"/>
      <c r="H810" s="7">
        <f t="shared" si="135"/>
        <v>0</v>
      </c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9">
        <f t="shared" si="138"/>
        <v>0</v>
      </c>
      <c r="T810" s="10">
        <f t="shared" si="139"/>
        <v>0</v>
      </c>
      <c r="U810" s="10"/>
    </row>
    <row r="811" spans="1:21">
      <c r="A811" s="6"/>
      <c r="B811" s="11" t="s">
        <v>74</v>
      </c>
      <c r="C811" s="7" t="s">
        <v>26</v>
      </c>
      <c r="D811" s="7"/>
      <c r="E811" s="7"/>
      <c r="F811" s="7">
        <f t="shared" si="140"/>
        <v>22</v>
      </c>
      <c r="G811" s="8"/>
      <c r="H811" s="7">
        <f t="shared" si="135"/>
        <v>0</v>
      </c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9">
        <f t="shared" si="138"/>
        <v>22</v>
      </c>
      <c r="T811" s="10">
        <f t="shared" si="139"/>
        <v>0</v>
      </c>
      <c r="U811" s="10"/>
    </row>
    <row r="812" spans="1:21">
      <c r="A812" s="6"/>
      <c r="B812" s="11" t="s">
        <v>75</v>
      </c>
      <c r="C812" s="7" t="s">
        <v>26</v>
      </c>
      <c r="D812" s="7"/>
      <c r="E812" s="7"/>
      <c r="F812" s="7">
        <f t="shared" si="140"/>
        <v>0</v>
      </c>
      <c r="G812" s="8"/>
      <c r="H812" s="7">
        <f t="shared" si="135"/>
        <v>0</v>
      </c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9">
        <f t="shared" si="138"/>
        <v>0</v>
      </c>
      <c r="T812" s="10">
        <f t="shared" si="139"/>
        <v>0</v>
      </c>
      <c r="U812" s="10"/>
    </row>
    <row r="813" spans="1:21">
      <c r="A813" s="6"/>
      <c r="B813" s="11" t="s">
        <v>76</v>
      </c>
      <c r="C813" s="7" t="s">
        <v>26</v>
      </c>
      <c r="D813" s="7"/>
      <c r="E813" s="7"/>
      <c r="F813" s="7">
        <f t="shared" si="140"/>
        <v>20</v>
      </c>
      <c r="G813" s="8"/>
      <c r="H813" s="7">
        <f t="shared" si="135"/>
        <v>0</v>
      </c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9">
        <f t="shared" si="138"/>
        <v>20</v>
      </c>
      <c r="T813" s="10">
        <f t="shared" si="139"/>
        <v>0</v>
      </c>
      <c r="U813" s="10"/>
    </row>
    <row r="814" spans="1:21">
      <c r="A814" s="6"/>
      <c r="B814" s="11" t="s">
        <v>77</v>
      </c>
      <c r="C814" s="7" t="s">
        <v>61</v>
      </c>
      <c r="D814" s="7"/>
      <c r="E814" s="7"/>
      <c r="F814" s="7">
        <f t="shared" si="140"/>
        <v>0</v>
      </c>
      <c r="G814" s="8"/>
      <c r="H814" s="7">
        <f t="shared" si="135"/>
        <v>0</v>
      </c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9">
        <f t="shared" si="138"/>
        <v>0</v>
      </c>
      <c r="T814" s="10">
        <f t="shared" si="139"/>
        <v>0</v>
      </c>
      <c r="U814" s="10"/>
    </row>
    <row r="815" spans="1:21">
      <c r="A815" s="6"/>
      <c r="B815" s="11" t="s">
        <v>78</v>
      </c>
      <c r="C815" s="7" t="s">
        <v>61</v>
      </c>
      <c r="D815" s="7"/>
      <c r="E815" s="7"/>
      <c r="F815" s="7">
        <f t="shared" si="140"/>
        <v>69</v>
      </c>
      <c r="G815" s="8"/>
      <c r="H815" s="7">
        <f t="shared" si="135"/>
        <v>0</v>
      </c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9">
        <f t="shared" si="138"/>
        <v>69</v>
      </c>
      <c r="T815" s="10">
        <f t="shared" si="139"/>
        <v>0</v>
      </c>
      <c r="U815" s="10"/>
    </row>
    <row r="816" spans="1:21">
      <c r="A816" s="6"/>
      <c r="B816" s="11" t="s">
        <v>105</v>
      </c>
      <c r="C816" s="7" t="s">
        <v>26</v>
      </c>
      <c r="D816" s="7"/>
      <c r="E816" s="7"/>
      <c r="F816" s="7">
        <f t="shared" si="140"/>
        <v>1030</v>
      </c>
      <c r="G816" s="8"/>
      <c r="H816" s="7">
        <f t="shared" si="135"/>
        <v>0</v>
      </c>
      <c r="I816" s="7"/>
      <c r="J816" s="7">
        <v>120</v>
      </c>
      <c r="K816" s="7"/>
      <c r="L816" s="7"/>
      <c r="M816" s="7"/>
      <c r="N816" s="7"/>
      <c r="O816" s="7"/>
      <c r="P816" s="7"/>
      <c r="Q816" s="7"/>
      <c r="R816" s="7"/>
      <c r="S816" s="9">
        <f t="shared" si="138"/>
        <v>910</v>
      </c>
      <c r="T816" s="10">
        <f t="shared" si="139"/>
        <v>0</v>
      </c>
      <c r="U816" s="10"/>
    </row>
    <row r="817" spans="1:21">
      <c r="A817" s="6"/>
      <c r="B817" s="11" t="s">
        <v>80</v>
      </c>
      <c r="C817" s="7" t="s">
        <v>26</v>
      </c>
      <c r="D817" s="7"/>
      <c r="E817" s="7"/>
      <c r="F817" s="7">
        <f t="shared" si="140"/>
        <v>592</v>
      </c>
      <c r="G817" s="8"/>
      <c r="H817" s="7">
        <f t="shared" si="135"/>
        <v>0</v>
      </c>
      <c r="I817" s="7"/>
      <c r="J817" s="7"/>
      <c r="K817" s="7"/>
      <c r="L817" s="7"/>
      <c r="M817" s="7">
        <v>23</v>
      </c>
      <c r="N817" s="7"/>
      <c r="O817" s="7"/>
      <c r="P817" s="7"/>
      <c r="Q817" s="7"/>
      <c r="R817" s="7"/>
      <c r="S817" s="9">
        <f t="shared" si="138"/>
        <v>615</v>
      </c>
      <c r="T817" s="10">
        <f t="shared" si="139"/>
        <v>0</v>
      </c>
      <c r="U817" s="10"/>
    </row>
    <row r="818" spans="1:21">
      <c r="A818" s="6"/>
      <c r="B818" s="11" t="s">
        <v>81</v>
      </c>
      <c r="C818" s="7" t="s">
        <v>26</v>
      </c>
      <c r="D818" s="7"/>
      <c r="E818" s="7"/>
      <c r="F818" s="7">
        <f t="shared" ref="F818:F831" si="141">S733</f>
        <v>0</v>
      </c>
      <c r="G818" s="8"/>
      <c r="H818" s="7">
        <f t="shared" si="135"/>
        <v>0</v>
      </c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9">
        <f t="shared" si="138"/>
        <v>0</v>
      </c>
      <c r="T818" s="10">
        <f t="shared" si="139"/>
        <v>0</v>
      </c>
      <c r="U818" s="10"/>
    </row>
    <row r="819" spans="1:21">
      <c r="A819" s="6"/>
      <c r="B819" s="11" t="s">
        <v>82</v>
      </c>
      <c r="C819" s="7" t="s">
        <v>26</v>
      </c>
      <c r="D819" s="7"/>
      <c r="E819" s="7"/>
      <c r="F819" s="7">
        <f t="shared" si="141"/>
        <v>14</v>
      </c>
      <c r="G819" s="8"/>
      <c r="H819" s="7">
        <f t="shared" si="135"/>
        <v>0</v>
      </c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9">
        <f t="shared" si="138"/>
        <v>14</v>
      </c>
      <c r="T819" s="10">
        <f t="shared" si="139"/>
        <v>0</v>
      </c>
      <c r="U819" s="10"/>
    </row>
    <row r="820" spans="1:21">
      <c r="A820" s="6"/>
      <c r="B820" s="11" t="s">
        <v>83</v>
      </c>
      <c r="C820" s="7" t="s">
        <v>26</v>
      </c>
      <c r="D820" s="7"/>
      <c r="E820" s="7"/>
      <c r="F820" s="7">
        <f t="shared" si="141"/>
        <v>0</v>
      </c>
      <c r="G820" s="8"/>
      <c r="H820" s="7">
        <f t="shared" ref="H820:H879" si="142">T735</f>
        <v>0</v>
      </c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9">
        <f t="shared" si="138"/>
        <v>0</v>
      </c>
      <c r="T820" s="10">
        <f t="shared" si="139"/>
        <v>0</v>
      </c>
      <c r="U820" s="10"/>
    </row>
    <row r="821" spans="1:21">
      <c r="A821" s="6"/>
      <c r="B821" s="11" t="s">
        <v>84</v>
      </c>
      <c r="C821" s="7" t="s">
        <v>26</v>
      </c>
      <c r="D821" s="7"/>
      <c r="E821" s="7"/>
      <c r="F821" s="7">
        <f t="shared" si="141"/>
        <v>28</v>
      </c>
      <c r="G821" s="8"/>
      <c r="H821" s="7">
        <f t="shared" si="142"/>
        <v>0</v>
      </c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9">
        <f t="shared" si="138"/>
        <v>28</v>
      </c>
      <c r="T821" s="10">
        <f t="shared" si="139"/>
        <v>0</v>
      </c>
      <c r="U821" s="10"/>
    </row>
    <row r="822" spans="1:21">
      <c r="A822" s="6"/>
      <c r="B822" s="11" t="s">
        <v>85</v>
      </c>
      <c r="C822" s="7" t="s">
        <v>61</v>
      </c>
      <c r="D822" s="7"/>
      <c r="E822" s="7"/>
      <c r="F822" s="7">
        <f t="shared" si="141"/>
        <v>0</v>
      </c>
      <c r="G822" s="8"/>
      <c r="H822" s="7">
        <f t="shared" si="142"/>
        <v>0</v>
      </c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9">
        <f t="shared" si="138"/>
        <v>0</v>
      </c>
      <c r="T822" s="10">
        <f t="shared" si="139"/>
        <v>0</v>
      </c>
      <c r="U822" s="10"/>
    </row>
    <row r="823" spans="1:21">
      <c r="A823" s="6"/>
      <c r="B823" s="11" t="s">
        <v>86</v>
      </c>
      <c r="C823" s="7" t="s">
        <v>61</v>
      </c>
      <c r="D823" s="7"/>
      <c r="E823" s="7"/>
      <c r="F823" s="7">
        <f t="shared" si="141"/>
        <v>10</v>
      </c>
      <c r="G823" s="8"/>
      <c r="H823" s="7">
        <f t="shared" si="142"/>
        <v>0</v>
      </c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9">
        <f t="shared" si="138"/>
        <v>10</v>
      </c>
      <c r="T823" s="10">
        <f t="shared" si="139"/>
        <v>0</v>
      </c>
      <c r="U823" s="10"/>
    </row>
    <row r="824" spans="1:21">
      <c r="A824" s="6"/>
      <c r="B824" s="11" t="s">
        <v>87</v>
      </c>
      <c r="C824" s="7" t="s">
        <v>26</v>
      </c>
      <c r="D824" s="7"/>
      <c r="E824" s="7"/>
      <c r="F824" s="7">
        <f t="shared" si="141"/>
        <v>0</v>
      </c>
      <c r="G824" s="8"/>
      <c r="H824" s="7">
        <f t="shared" si="142"/>
        <v>0</v>
      </c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9">
        <f t="shared" si="138"/>
        <v>0</v>
      </c>
      <c r="T824" s="10">
        <f t="shared" si="139"/>
        <v>0</v>
      </c>
      <c r="U824" s="10"/>
    </row>
    <row r="825" spans="1:21">
      <c r="A825" s="6"/>
      <c r="B825" s="11" t="s">
        <v>88</v>
      </c>
      <c r="C825" s="10"/>
      <c r="D825" s="7"/>
      <c r="E825" s="7"/>
      <c r="F825" s="7">
        <f t="shared" si="141"/>
        <v>65</v>
      </c>
      <c r="G825" s="8">
        <v>4</v>
      </c>
      <c r="H825" s="7">
        <f t="shared" si="142"/>
        <v>0</v>
      </c>
      <c r="I825" s="7"/>
      <c r="J825" s="7">
        <v>69</v>
      </c>
      <c r="K825" s="7"/>
      <c r="L825" s="7"/>
      <c r="M825" s="7"/>
      <c r="N825" s="7"/>
      <c r="O825" s="7"/>
      <c r="P825" s="7"/>
      <c r="Q825" s="7"/>
      <c r="R825" s="7"/>
      <c r="S825" s="9">
        <f t="shared" si="138"/>
        <v>0</v>
      </c>
      <c r="T825" s="10">
        <f t="shared" si="139"/>
        <v>0</v>
      </c>
      <c r="U825" s="10"/>
    </row>
    <row r="826" spans="1:21">
      <c r="A826" s="6"/>
      <c r="B826" s="11" t="s">
        <v>89</v>
      </c>
      <c r="C826" s="7" t="s">
        <v>26</v>
      </c>
      <c r="D826" s="7"/>
      <c r="E826" s="7"/>
      <c r="F826" s="7">
        <f t="shared" si="141"/>
        <v>858</v>
      </c>
      <c r="G826" s="8"/>
      <c r="H826" s="7">
        <f t="shared" si="142"/>
        <v>0</v>
      </c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9">
        <f t="shared" si="138"/>
        <v>858</v>
      </c>
      <c r="T826" s="10">
        <f t="shared" si="139"/>
        <v>0</v>
      </c>
      <c r="U826" s="10"/>
    </row>
    <row r="827" spans="1:21">
      <c r="A827" s="6"/>
      <c r="B827" s="11" t="s">
        <v>90</v>
      </c>
      <c r="C827" s="7" t="s">
        <v>26</v>
      </c>
      <c r="D827" s="7"/>
      <c r="E827" s="7"/>
      <c r="F827" s="7">
        <f t="shared" si="141"/>
        <v>0</v>
      </c>
      <c r="G827" s="8"/>
      <c r="H827" s="7">
        <f t="shared" si="142"/>
        <v>0</v>
      </c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9">
        <f t="shared" si="138"/>
        <v>0</v>
      </c>
      <c r="T827" s="10">
        <f t="shared" si="139"/>
        <v>0</v>
      </c>
      <c r="U827" s="10"/>
    </row>
    <row r="828" spans="1:21">
      <c r="A828" s="6"/>
      <c r="B828" s="11" t="s">
        <v>91</v>
      </c>
      <c r="C828" s="7" t="s">
        <v>26</v>
      </c>
      <c r="D828" s="7"/>
      <c r="E828" s="7"/>
      <c r="F828" s="7">
        <f t="shared" si="141"/>
        <v>138</v>
      </c>
      <c r="G828" s="8"/>
      <c r="H828" s="7">
        <f t="shared" si="142"/>
        <v>0</v>
      </c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9">
        <f t="shared" si="138"/>
        <v>138</v>
      </c>
      <c r="T828" s="10">
        <f t="shared" si="139"/>
        <v>0</v>
      </c>
      <c r="U828" s="10"/>
    </row>
    <row r="829" spans="1:21">
      <c r="A829" s="6"/>
      <c r="B829" s="12" t="s">
        <v>92</v>
      </c>
      <c r="C829" s="13" t="s">
        <v>26</v>
      </c>
      <c r="D829" s="7"/>
      <c r="E829" s="7"/>
      <c r="F829" s="7">
        <f t="shared" si="141"/>
        <v>0</v>
      </c>
      <c r="G829" s="8">
        <v>2249</v>
      </c>
      <c r="H829" s="7">
        <f t="shared" si="142"/>
        <v>0</v>
      </c>
      <c r="I829" s="7"/>
      <c r="J829" s="7"/>
      <c r="K829" s="7"/>
      <c r="L829" s="7"/>
      <c r="M829" s="7"/>
      <c r="N829" s="7"/>
      <c r="O829" s="7">
        <v>16</v>
      </c>
      <c r="P829" s="7"/>
      <c r="Q829" s="7"/>
      <c r="R829" s="7"/>
      <c r="S829" s="9">
        <f t="shared" si="138"/>
        <v>2265</v>
      </c>
      <c r="T829" s="10">
        <f t="shared" si="139"/>
        <v>0</v>
      </c>
      <c r="U829" s="10"/>
    </row>
    <row r="830" spans="1:21">
      <c r="A830" s="6"/>
      <c r="B830" s="12" t="s">
        <v>93</v>
      </c>
      <c r="C830" s="13" t="s">
        <v>26</v>
      </c>
      <c r="D830" s="7"/>
      <c r="E830" s="7"/>
      <c r="F830" s="7">
        <f t="shared" si="141"/>
        <v>2232</v>
      </c>
      <c r="G830" s="8">
        <v>24</v>
      </c>
      <c r="H830" s="7">
        <f t="shared" si="142"/>
        <v>0</v>
      </c>
      <c r="I830" s="7"/>
      <c r="J830" s="7"/>
      <c r="K830" s="7"/>
      <c r="L830" s="7"/>
      <c r="M830" s="7">
        <v>44</v>
      </c>
      <c r="N830" s="7"/>
      <c r="O830" s="7"/>
      <c r="P830" s="7"/>
      <c r="Q830" s="7"/>
      <c r="R830" s="7"/>
      <c r="S830" s="9">
        <f t="shared" si="138"/>
        <v>2300</v>
      </c>
      <c r="T830" s="10">
        <f t="shared" si="139"/>
        <v>0</v>
      </c>
      <c r="U830" s="10"/>
    </row>
    <row r="831" spans="1:21">
      <c r="A831" s="6"/>
      <c r="B831" s="11" t="s">
        <v>94</v>
      </c>
      <c r="C831" s="7" t="s">
        <v>41</v>
      </c>
      <c r="D831" s="7"/>
      <c r="E831" s="7"/>
      <c r="F831" s="7">
        <f t="shared" ref="F831:F851" si="143">S746</f>
        <v>0</v>
      </c>
      <c r="G831" s="8"/>
      <c r="H831" s="7">
        <f t="shared" si="142"/>
        <v>0</v>
      </c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9">
        <f t="shared" si="138"/>
        <v>0</v>
      </c>
      <c r="T831" s="10">
        <f t="shared" si="139"/>
        <v>0</v>
      </c>
      <c r="U831" s="10"/>
    </row>
    <row r="832" spans="1:21">
      <c r="A832" s="6"/>
      <c r="B832" s="11" t="s">
        <v>95</v>
      </c>
      <c r="C832" s="7" t="s">
        <v>41</v>
      </c>
      <c r="D832" s="7"/>
      <c r="E832" s="7"/>
      <c r="F832" s="7">
        <f t="shared" si="143"/>
        <v>39</v>
      </c>
      <c r="G832" s="8"/>
      <c r="H832" s="7">
        <f t="shared" si="142"/>
        <v>0</v>
      </c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9">
        <f t="shared" si="138"/>
        <v>39</v>
      </c>
      <c r="T832" s="10">
        <f t="shared" si="139"/>
        <v>0</v>
      </c>
      <c r="U832" s="10"/>
    </row>
    <row r="833" spans="1:21">
      <c r="A833" s="6"/>
      <c r="B833" s="11" t="s">
        <v>96</v>
      </c>
      <c r="C833" s="7" t="s">
        <v>41</v>
      </c>
      <c r="D833" s="7"/>
      <c r="E833" s="7"/>
      <c r="F833" s="7">
        <f t="shared" si="143"/>
        <v>0</v>
      </c>
      <c r="G833" s="8"/>
      <c r="H833" s="7">
        <f t="shared" si="142"/>
        <v>0</v>
      </c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9">
        <f t="shared" si="138"/>
        <v>0</v>
      </c>
      <c r="T833" s="10">
        <f t="shared" si="139"/>
        <v>0</v>
      </c>
      <c r="U833" s="10"/>
    </row>
    <row r="834" spans="1:21">
      <c r="A834" s="6"/>
      <c r="B834" s="11" t="s">
        <v>97</v>
      </c>
      <c r="C834" s="7" t="s">
        <v>41</v>
      </c>
      <c r="D834" s="7"/>
      <c r="E834" s="7"/>
      <c r="F834" s="7">
        <f t="shared" si="143"/>
        <v>54</v>
      </c>
      <c r="G834" s="8"/>
      <c r="H834" s="7">
        <f t="shared" si="142"/>
        <v>0</v>
      </c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9">
        <f t="shared" si="138"/>
        <v>54</v>
      </c>
      <c r="T834" s="10">
        <f t="shared" si="139"/>
        <v>0</v>
      </c>
      <c r="U834" s="10"/>
    </row>
    <row r="835" spans="1:21">
      <c r="A835" s="6"/>
      <c r="B835" s="11" t="s">
        <v>98</v>
      </c>
      <c r="C835" s="7" t="s">
        <v>26</v>
      </c>
      <c r="D835" s="7"/>
      <c r="E835" s="7"/>
      <c r="F835" s="7">
        <f t="shared" si="143"/>
        <v>656</v>
      </c>
      <c r="G835" s="8"/>
      <c r="H835" s="7">
        <f t="shared" si="142"/>
        <v>0</v>
      </c>
      <c r="I835" s="7"/>
      <c r="J835" s="7">
        <v>144</v>
      </c>
      <c r="K835" s="7"/>
      <c r="L835" s="7"/>
      <c r="M835" s="7"/>
      <c r="N835" s="7"/>
      <c r="O835" s="7"/>
      <c r="P835" s="7"/>
      <c r="Q835" s="7"/>
      <c r="R835" s="7"/>
      <c r="S835" s="9">
        <f t="shared" si="138"/>
        <v>512</v>
      </c>
      <c r="T835" s="10">
        <f t="shared" si="139"/>
        <v>0</v>
      </c>
      <c r="U835" s="10"/>
    </row>
    <row r="836" spans="1:21">
      <c r="A836" s="6"/>
      <c r="B836" s="11" t="s">
        <v>99</v>
      </c>
      <c r="C836" s="7" t="s">
        <v>26</v>
      </c>
      <c r="D836" s="7"/>
      <c r="E836" s="7"/>
      <c r="F836" s="7">
        <f t="shared" si="143"/>
        <v>1084</v>
      </c>
      <c r="G836" s="8"/>
      <c r="H836" s="7">
        <f t="shared" si="142"/>
        <v>0</v>
      </c>
      <c r="I836" s="7"/>
      <c r="J836" s="7"/>
      <c r="K836" s="7"/>
      <c r="L836" s="7"/>
      <c r="M836" s="7">
        <v>61</v>
      </c>
      <c r="N836" s="7"/>
      <c r="O836" s="7"/>
      <c r="P836" s="7"/>
      <c r="Q836" s="7"/>
      <c r="R836" s="7"/>
      <c r="S836" s="9">
        <f t="shared" si="138"/>
        <v>1145</v>
      </c>
      <c r="T836" s="10">
        <f t="shared" si="139"/>
        <v>0</v>
      </c>
      <c r="U836" s="10"/>
    </row>
    <row r="837" spans="1:21">
      <c r="A837" s="6"/>
      <c r="B837" s="11" t="s">
        <v>100</v>
      </c>
      <c r="C837" s="7" t="s">
        <v>26</v>
      </c>
      <c r="D837" s="7"/>
      <c r="E837" s="7"/>
      <c r="F837" s="7">
        <f t="shared" si="143"/>
        <v>281</v>
      </c>
      <c r="G837" s="8"/>
      <c r="H837" s="7">
        <f t="shared" si="142"/>
        <v>0</v>
      </c>
      <c r="I837" s="7"/>
      <c r="J837" s="7">
        <v>72</v>
      </c>
      <c r="K837" s="7"/>
      <c r="L837" s="7"/>
      <c r="M837" s="7"/>
      <c r="N837" s="7"/>
      <c r="O837" s="7"/>
      <c r="P837" s="7"/>
      <c r="Q837" s="7"/>
      <c r="R837" s="7"/>
      <c r="S837" s="9">
        <f t="shared" si="138"/>
        <v>209</v>
      </c>
      <c r="T837" s="10">
        <f t="shared" si="139"/>
        <v>0</v>
      </c>
      <c r="U837" s="10"/>
    </row>
    <row r="838" spans="1:21">
      <c r="A838" s="6"/>
      <c r="B838" s="11" t="s">
        <v>101</v>
      </c>
      <c r="C838" s="7" t="s">
        <v>26</v>
      </c>
      <c r="D838" s="7"/>
      <c r="E838" s="7"/>
      <c r="F838" s="7">
        <f t="shared" si="143"/>
        <v>261</v>
      </c>
      <c r="G838" s="8"/>
      <c r="H838" s="7">
        <f t="shared" si="142"/>
        <v>0</v>
      </c>
      <c r="I838" s="7"/>
      <c r="J838" s="7"/>
      <c r="K838" s="7"/>
      <c r="L838" s="7"/>
      <c r="M838" s="7">
        <v>47</v>
      </c>
      <c r="N838" s="7"/>
      <c r="O838" s="7"/>
      <c r="P838" s="7"/>
      <c r="Q838" s="7"/>
      <c r="R838" s="7"/>
      <c r="S838" s="9">
        <f t="shared" si="138"/>
        <v>308</v>
      </c>
      <c r="T838" s="10">
        <f t="shared" si="139"/>
        <v>0</v>
      </c>
      <c r="U838" s="10"/>
    </row>
    <row r="839" spans="1:21">
      <c r="A839" s="6"/>
      <c r="B839" s="11" t="s">
        <v>102</v>
      </c>
      <c r="C839" s="7" t="s">
        <v>26</v>
      </c>
      <c r="D839" s="7"/>
      <c r="E839" s="7"/>
      <c r="F839" s="7">
        <f t="shared" si="143"/>
        <v>950</v>
      </c>
      <c r="G839" s="8"/>
      <c r="H839" s="7">
        <f t="shared" si="142"/>
        <v>0</v>
      </c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9">
        <f t="shared" si="138"/>
        <v>950</v>
      </c>
      <c r="T839" s="10">
        <f t="shared" si="139"/>
        <v>0</v>
      </c>
      <c r="U839" s="10"/>
    </row>
    <row r="840" spans="1:21">
      <c r="A840" s="6"/>
      <c r="B840" s="11" t="s">
        <v>103</v>
      </c>
      <c r="C840" s="7" t="s">
        <v>26</v>
      </c>
      <c r="D840" s="7"/>
      <c r="E840" s="7"/>
      <c r="F840" s="7">
        <f t="shared" si="143"/>
        <v>280</v>
      </c>
      <c r="G840" s="8"/>
      <c r="H840" s="7">
        <f t="shared" si="142"/>
        <v>0</v>
      </c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9">
        <f t="shared" si="138"/>
        <v>280</v>
      </c>
      <c r="T840" s="10">
        <f t="shared" si="139"/>
        <v>0</v>
      </c>
      <c r="U840" s="10"/>
    </row>
    <row r="841" spans="1:21">
      <c r="A841" s="6"/>
      <c r="B841" s="11" t="s">
        <v>112</v>
      </c>
      <c r="C841" s="7" t="s">
        <v>113</v>
      </c>
      <c r="D841" s="7"/>
      <c r="E841" s="7"/>
      <c r="F841" s="7">
        <f t="shared" si="143"/>
        <v>1483</v>
      </c>
      <c r="G841" s="8"/>
      <c r="H841" s="7">
        <f t="shared" si="142"/>
        <v>0</v>
      </c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9">
        <f t="shared" si="138"/>
        <v>1483</v>
      </c>
      <c r="T841" s="10">
        <f t="shared" si="139"/>
        <v>0</v>
      </c>
      <c r="U841" s="10"/>
    </row>
    <row r="842" spans="1:21">
      <c r="A842" s="6"/>
      <c r="B842" s="11"/>
      <c r="C842" s="7"/>
      <c r="D842" s="7"/>
      <c r="E842" s="7"/>
      <c r="F842" s="7">
        <f t="shared" si="143"/>
        <v>0</v>
      </c>
      <c r="G842" s="8"/>
      <c r="H842" s="7">
        <f t="shared" si="142"/>
        <v>0</v>
      </c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9">
        <f t="shared" si="138"/>
        <v>0</v>
      </c>
      <c r="T842" s="10">
        <f t="shared" si="139"/>
        <v>0</v>
      </c>
      <c r="U842" s="10"/>
    </row>
    <row r="843" spans="1:21">
      <c r="A843" s="6"/>
      <c r="B843" s="11"/>
      <c r="C843" s="7"/>
      <c r="D843" s="7"/>
      <c r="E843" s="7"/>
      <c r="F843" s="7">
        <f t="shared" si="143"/>
        <v>0</v>
      </c>
      <c r="G843" s="8"/>
      <c r="H843" s="7">
        <f t="shared" si="142"/>
        <v>0</v>
      </c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9">
        <f t="shared" si="138"/>
        <v>0</v>
      </c>
      <c r="T843" s="10">
        <f t="shared" si="139"/>
        <v>0</v>
      </c>
      <c r="U843" s="10"/>
    </row>
    <row r="844" spans="1:21">
      <c r="A844" s="6"/>
      <c r="B844" s="11"/>
      <c r="C844" s="7"/>
      <c r="D844" s="7"/>
      <c r="E844" s="7"/>
      <c r="F844" s="7">
        <f t="shared" si="143"/>
        <v>0</v>
      </c>
      <c r="G844" s="8"/>
      <c r="H844" s="7">
        <f t="shared" si="142"/>
        <v>0</v>
      </c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9">
        <f t="shared" si="138"/>
        <v>0</v>
      </c>
      <c r="T844" s="10">
        <f t="shared" si="139"/>
        <v>0</v>
      </c>
      <c r="U844" s="10"/>
    </row>
    <row r="845" spans="1:21">
      <c r="A845" s="6"/>
      <c r="B845" s="11"/>
      <c r="C845" s="7"/>
      <c r="D845" s="7"/>
      <c r="E845" s="7"/>
      <c r="F845" s="7">
        <f t="shared" si="143"/>
        <v>0</v>
      </c>
      <c r="G845" s="8"/>
      <c r="H845" s="7">
        <f t="shared" si="142"/>
        <v>0</v>
      </c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9">
        <f t="shared" si="138"/>
        <v>0</v>
      </c>
      <c r="T845" s="10">
        <f t="shared" si="139"/>
        <v>0</v>
      </c>
      <c r="U845" s="10"/>
    </row>
    <row r="846" spans="1:21">
      <c r="A846" s="6"/>
      <c r="B846" s="11"/>
      <c r="C846" s="7"/>
      <c r="D846" s="7"/>
      <c r="E846" s="7"/>
      <c r="F846" s="7">
        <f t="shared" si="143"/>
        <v>0</v>
      </c>
      <c r="G846" s="8"/>
      <c r="H846" s="7">
        <f t="shared" si="142"/>
        <v>0</v>
      </c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9">
        <f t="shared" si="138"/>
        <v>0</v>
      </c>
      <c r="T846" s="10">
        <f t="shared" si="139"/>
        <v>0</v>
      </c>
      <c r="U846" s="10"/>
    </row>
    <row r="847" spans="1:21">
      <c r="A847" s="6"/>
      <c r="B847" s="11"/>
      <c r="C847" s="7"/>
      <c r="D847" s="7"/>
      <c r="E847" s="7"/>
      <c r="F847" s="7">
        <f t="shared" si="143"/>
        <v>0</v>
      </c>
      <c r="G847" s="8"/>
      <c r="H847" s="7">
        <f t="shared" si="142"/>
        <v>0</v>
      </c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9">
        <f t="shared" si="138"/>
        <v>0</v>
      </c>
      <c r="T847" s="10">
        <f t="shared" si="139"/>
        <v>0</v>
      </c>
      <c r="U847" s="10"/>
    </row>
    <row r="848" spans="1:21">
      <c r="A848" s="6"/>
      <c r="B848" s="11"/>
      <c r="C848" s="7"/>
      <c r="D848" s="7"/>
      <c r="E848" s="7"/>
      <c r="F848" s="7">
        <f t="shared" si="143"/>
        <v>0</v>
      </c>
      <c r="G848" s="8"/>
      <c r="H848" s="7">
        <f t="shared" si="142"/>
        <v>0</v>
      </c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9">
        <f t="shared" si="138"/>
        <v>0</v>
      </c>
      <c r="T848" s="10">
        <f t="shared" si="139"/>
        <v>0</v>
      </c>
      <c r="U848" s="10"/>
    </row>
    <row r="849" spans="1:25">
      <c r="A849" s="6"/>
      <c r="B849" s="11"/>
      <c r="C849" s="7"/>
      <c r="D849" s="7"/>
      <c r="E849" s="7"/>
      <c r="F849" s="7">
        <f t="shared" si="143"/>
        <v>0</v>
      </c>
      <c r="G849" s="8"/>
      <c r="H849" s="7">
        <f t="shared" si="142"/>
        <v>0</v>
      </c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9">
        <f t="shared" si="138"/>
        <v>0</v>
      </c>
      <c r="T849" s="10">
        <f t="shared" si="139"/>
        <v>0</v>
      </c>
      <c r="U849" s="10"/>
    </row>
    <row r="850" spans="1:25">
      <c r="A850" s="6"/>
      <c r="B850" s="11"/>
      <c r="C850" s="7"/>
      <c r="D850" s="7"/>
      <c r="E850" s="7"/>
      <c r="F850" s="7">
        <f t="shared" si="143"/>
        <v>0</v>
      </c>
      <c r="G850" s="8"/>
      <c r="H850" s="7">
        <f t="shared" si="142"/>
        <v>0</v>
      </c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9">
        <f t="shared" si="138"/>
        <v>0</v>
      </c>
      <c r="T850" s="10">
        <f t="shared" si="139"/>
        <v>0</v>
      </c>
      <c r="U850" s="10"/>
    </row>
    <row r="851" spans="1:25">
      <c r="A851" s="6"/>
      <c r="B851" s="11"/>
      <c r="C851" s="7"/>
      <c r="D851" s="7"/>
      <c r="E851" s="7"/>
      <c r="F851" s="7">
        <f t="shared" si="143"/>
        <v>0</v>
      </c>
      <c r="G851" s="8"/>
      <c r="H851" s="7">
        <f t="shared" si="142"/>
        <v>0</v>
      </c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9">
        <f t="shared" si="138"/>
        <v>0</v>
      </c>
      <c r="T851" s="10">
        <f t="shared" si="139"/>
        <v>0</v>
      </c>
      <c r="U851" s="10"/>
      <c r="V851">
        <f>X851*0.1</f>
        <v>0</v>
      </c>
      <c r="W851">
        <f>E851*S851*1.5</f>
        <v>0</v>
      </c>
      <c r="X851">
        <f>J851+K851</f>
        <v>0</v>
      </c>
      <c r="Y851">
        <f>X851*0.13</f>
        <v>0</v>
      </c>
    </row>
    <row r="852" spans="1:25">
      <c r="A852" s="6">
        <v>46153</v>
      </c>
      <c r="B852" t="s">
        <v>25</v>
      </c>
      <c r="C852" s="7" t="s">
        <v>26</v>
      </c>
      <c r="D852" s="7"/>
      <c r="E852" s="7"/>
      <c r="F852" s="7">
        <f t="shared" ref="F851:F863" si="144">S767</f>
        <v>1150</v>
      </c>
      <c r="G852" s="8"/>
      <c r="H852" s="7">
        <f t="shared" si="142"/>
        <v>0</v>
      </c>
      <c r="I852" s="7"/>
      <c r="J852" s="7">
        <v>120</v>
      </c>
      <c r="K852" s="7"/>
      <c r="L852" s="7"/>
      <c r="M852" s="7"/>
      <c r="N852" s="7"/>
      <c r="O852" s="7"/>
      <c r="P852" s="7"/>
      <c r="Q852" s="7"/>
      <c r="R852" s="7"/>
      <c r="S852" s="9">
        <f t="shared" si="138"/>
        <v>1030</v>
      </c>
      <c r="T852" s="10">
        <f t="shared" si="139"/>
        <v>0</v>
      </c>
      <c r="U852" s="10"/>
      <c r="V852">
        <f t="shared" ref="V852:V858" si="145">X852*0.1</f>
        <v>12</v>
      </c>
      <c r="W852">
        <f t="shared" ref="W852:W858" si="146">E852*S852*1.5</f>
        <v>0</v>
      </c>
      <c r="X852">
        <f t="shared" ref="X852:X858" si="147">J852+K852</f>
        <v>120</v>
      </c>
      <c r="Y852">
        <f t="shared" ref="Y852:Y858" si="148">X852*0.13</f>
        <v>15.6</v>
      </c>
    </row>
    <row r="853" spans="1:25">
      <c r="A853" s="6"/>
      <c r="B853" t="s">
        <v>27</v>
      </c>
      <c r="C853" s="7" t="s">
        <v>26</v>
      </c>
      <c r="D853" s="7"/>
      <c r="E853" s="7"/>
      <c r="F853" s="7">
        <f t="shared" si="144"/>
        <v>515</v>
      </c>
      <c r="G853" s="8"/>
      <c r="H853" s="7">
        <f t="shared" si="142"/>
        <v>0</v>
      </c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9">
        <f t="shared" si="138"/>
        <v>515</v>
      </c>
      <c r="T853" s="10">
        <f t="shared" si="139"/>
        <v>0</v>
      </c>
      <c r="U853" s="10"/>
      <c r="V853">
        <f t="shared" si="145"/>
        <v>0</v>
      </c>
      <c r="W853">
        <f t="shared" si="146"/>
        <v>0</v>
      </c>
      <c r="X853">
        <f t="shared" si="147"/>
        <v>0</v>
      </c>
      <c r="Y853">
        <f t="shared" si="148"/>
        <v>0</v>
      </c>
    </row>
    <row r="854" spans="1:25">
      <c r="A854" s="6"/>
      <c r="B854" s="6" t="s">
        <v>28</v>
      </c>
      <c r="C854" s="7" t="s">
        <v>26</v>
      </c>
      <c r="D854" s="7"/>
      <c r="E854" s="7"/>
      <c r="F854" s="7">
        <f t="shared" si="144"/>
        <v>1396</v>
      </c>
      <c r="G854" s="8"/>
      <c r="H854" s="7">
        <f t="shared" si="142"/>
        <v>0</v>
      </c>
      <c r="I854" s="7"/>
      <c r="J854" s="7">
        <v>120</v>
      </c>
      <c r="K854" s="7"/>
      <c r="L854" s="7"/>
      <c r="M854" s="7"/>
      <c r="N854" s="7"/>
      <c r="O854" s="7"/>
      <c r="P854" s="7"/>
      <c r="Q854" s="7"/>
      <c r="R854" s="7"/>
      <c r="S854" s="9">
        <f t="shared" si="138"/>
        <v>1276</v>
      </c>
      <c r="T854" s="10">
        <f t="shared" si="139"/>
        <v>0</v>
      </c>
      <c r="U854" s="10"/>
      <c r="V854">
        <f t="shared" si="145"/>
        <v>12</v>
      </c>
      <c r="W854">
        <f t="shared" si="146"/>
        <v>0</v>
      </c>
      <c r="X854">
        <f t="shared" si="147"/>
        <v>120</v>
      </c>
      <c r="Y854">
        <f t="shared" si="148"/>
        <v>15.6</v>
      </c>
    </row>
    <row r="855" spans="1:25">
      <c r="A855" s="6"/>
      <c r="B855" s="6" t="s">
        <v>29</v>
      </c>
      <c r="C855" s="7" t="s">
        <v>26</v>
      </c>
      <c r="D855" s="7"/>
      <c r="E855" s="7"/>
      <c r="F855" s="7">
        <f t="shared" si="144"/>
        <v>187</v>
      </c>
      <c r="G855" s="8"/>
      <c r="H855" s="7">
        <f t="shared" si="142"/>
        <v>0</v>
      </c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9">
        <f t="shared" si="138"/>
        <v>187</v>
      </c>
      <c r="T855" s="10">
        <f t="shared" si="139"/>
        <v>0</v>
      </c>
      <c r="U855" s="10"/>
      <c r="V855">
        <f t="shared" si="145"/>
        <v>0</v>
      </c>
      <c r="W855">
        <f t="shared" si="146"/>
        <v>0</v>
      </c>
      <c r="X855">
        <f t="shared" si="147"/>
        <v>0</v>
      </c>
      <c r="Y855">
        <f t="shared" si="148"/>
        <v>0</v>
      </c>
    </row>
    <row r="856" spans="1:25">
      <c r="A856" s="6"/>
      <c r="B856" s="6" t="s">
        <v>30</v>
      </c>
      <c r="C856" s="7" t="s">
        <v>26</v>
      </c>
      <c r="D856" s="7"/>
      <c r="E856" s="7"/>
      <c r="F856" s="7">
        <f t="shared" si="144"/>
        <v>1856</v>
      </c>
      <c r="G856" s="8"/>
      <c r="H856" s="7">
        <f t="shared" si="142"/>
        <v>0</v>
      </c>
      <c r="I856" s="7"/>
      <c r="J856" s="7">
        <v>120</v>
      </c>
      <c r="K856" s="7">
        <v>50</v>
      </c>
      <c r="L856" s="7"/>
      <c r="M856" s="7"/>
      <c r="N856" s="7"/>
      <c r="O856" s="7"/>
      <c r="P856" s="7"/>
      <c r="Q856" s="7"/>
      <c r="R856" s="7"/>
      <c r="S856" s="9">
        <f t="shared" si="138"/>
        <v>1686</v>
      </c>
      <c r="T856" s="10">
        <f t="shared" si="139"/>
        <v>0</v>
      </c>
      <c r="U856" s="10"/>
      <c r="V856">
        <f t="shared" si="145"/>
        <v>17</v>
      </c>
      <c r="W856">
        <f t="shared" si="146"/>
        <v>0</v>
      </c>
      <c r="X856">
        <f t="shared" si="147"/>
        <v>170</v>
      </c>
      <c r="Y856">
        <f t="shared" si="148"/>
        <v>22.1</v>
      </c>
    </row>
    <row r="857" spans="1:25">
      <c r="A857" s="6"/>
      <c r="B857" s="6" t="s">
        <v>31</v>
      </c>
      <c r="C857" s="7" t="s">
        <v>26</v>
      </c>
      <c r="D857" s="7"/>
      <c r="E857" s="7"/>
      <c r="F857" s="7">
        <f t="shared" si="144"/>
        <v>1156</v>
      </c>
      <c r="G857" s="8"/>
      <c r="H857" s="7">
        <f t="shared" si="142"/>
        <v>0</v>
      </c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9">
        <f t="shared" si="138"/>
        <v>1156</v>
      </c>
      <c r="T857" s="10">
        <f t="shared" si="139"/>
        <v>0</v>
      </c>
      <c r="U857" s="10"/>
      <c r="V857">
        <f t="shared" si="145"/>
        <v>0</v>
      </c>
      <c r="W857">
        <f t="shared" si="146"/>
        <v>0</v>
      </c>
      <c r="X857">
        <f t="shared" si="147"/>
        <v>0</v>
      </c>
      <c r="Y857">
        <f t="shared" si="148"/>
        <v>0</v>
      </c>
    </row>
    <row r="858" spans="1:25">
      <c r="A858" s="6"/>
      <c r="B858" s="6" t="s">
        <v>32</v>
      </c>
      <c r="C858" s="7" t="s">
        <v>26</v>
      </c>
      <c r="D858" s="7"/>
      <c r="E858" s="7"/>
      <c r="F858" s="7">
        <f t="shared" si="144"/>
        <v>717</v>
      </c>
      <c r="G858" s="8"/>
      <c r="H858" s="7">
        <f t="shared" si="142"/>
        <v>0</v>
      </c>
      <c r="I858" s="7"/>
      <c r="J858" s="7">
        <v>240</v>
      </c>
      <c r="K858" s="7"/>
      <c r="L858" s="7">
        <v>57</v>
      </c>
      <c r="M858" s="7"/>
      <c r="N858" s="7"/>
      <c r="O858" s="7"/>
      <c r="P858" s="7"/>
      <c r="Q858" s="7"/>
      <c r="R858" s="7"/>
      <c r="S858" s="9">
        <f t="shared" si="138"/>
        <v>420</v>
      </c>
      <c r="T858" s="10">
        <f t="shared" si="139"/>
        <v>0</v>
      </c>
      <c r="U858" s="10"/>
      <c r="V858">
        <f t="shared" si="145"/>
        <v>24</v>
      </c>
      <c r="W858">
        <f t="shared" si="146"/>
        <v>0</v>
      </c>
      <c r="X858">
        <f t="shared" si="147"/>
        <v>240</v>
      </c>
      <c r="Y858">
        <f t="shared" si="148"/>
        <v>31.2</v>
      </c>
    </row>
    <row r="859" spans="1:25">
      <c r="A859" s="6"/>
      <c r="B859" s="6" t="s">
        <v>33</v>
      </c>
      <c r="C859" s="7" t="s">
        <v>26</v>
      </c>
      <c r="D859" s="7"/>
      <c r="E859" s="7"/>
      <c r="F859" s="7">
        <f t="shared" si="144"/>
        <v>1335</v>
      </c>
      <c r="G859" s="8"/>
      <c r="H859" s="7">
        <f t="shared" si="142"/>
        <v>0</v>
      </c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9">
        <f>F859+G859-J859-K859-L859+M859+O859-P859-R859</f>
        <v>1335</v>
      </c>
      <c r="T859" s="10">
        <f>H859+I859+N859+R859-Q859</f>
        <v>0</v>
      </c>
      <c r="U859" s="10"/>
    </row>
    <row r="860" spans="1:25">
      <c r="A860" s="6"/>
      <c r="B860" s="11" t="s">
        <v>34</v>
      </c>
      <c r="C860" s="7" t="s">
        <v>26</v>
      </c>
      <c r="D860" s="7"/>
      <c r="E860" s="7"/>
      <c r="F860" s="7">
        <f t="shared" si="144"/>
        <v>17</v>
      </c>
      <c r="G860" s="8"/>
      <c r="H860" s="7">
        <f t="shared" si="142"/>
        <v>0</v>
      </c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9">
        <f>F860+G860-J860-K860-L860+M860+O860-P860-R860</f>
        <v>17</v>
      </c>
      <c r="T860" s="10">
        <f>H860+I860+N860+R860-Q860</f>
        <v>0</v>
      </c>
      <c r="U860" s="10"/>
    </row>
    <row r="861" spans="1:25">
      <c r="A861" s="6"/>
      <c r="B861" s="11" t="s">
        <v>35</v>
      </c>
      <c r="C861" s="7" t="s">
        <v>26</v>
      </c>
      <c r="D861" s="7"/>
      <c r="E861" s="7"/>
      <c r="F861" s="7">
        <f t="shared" si="144"/>
        <v>120</v>
      </c>
      <c r="G861" s="8"/>
      <c r="H861" s="7">
        <f t="shared" si="142"/>
        <v>0</v>
      </c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9">
        <f>F861+G861-J861-K861-L861+M861+O861-P861-R861</f>
        <v>120</v>
      </c>
      <c r="T861" s="10">
        <f>H861+I861+N861+R861-Q861</f>
        <v>0</v>
      </c>
      <c r="U861" s="10"/>
    </row>
    <row r="862" spans="1:25">
      <c r="A862" s="6"/>
      <c r="B862" s="11" t="s">
        <v>36</v>
      </c>
      <c r="C862" s="7" t="s">
        <v>26</v>
      </c>
      <c r="D862" s="7"/>
      <c r="E862" s="7"/>
      <c r="F862" s="7">
        <f t="shared" si="144"/>
        <v>0</v>
      </c>
      <c r="G862" s="8"/>
      <c r="H862" s="7">
        <f t="shared" si="142"/>
        <v>0</v>
      </c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9">
        <f t="shared" ref="S862:S925" si="149">F862+G862-J862-K862-L862+M862+O862-P862-R862</f>
        <v>0</v>
      </c>
      <c r="T862" s="10">
        <f t="shared" ref="T862:T925" si="150">H862+I862+N862+R862-Q862</f>
        <v>0</v>
      </c>
      <c r="U862" s="10"/>
    </row>
    <row r="863" spans="1:25">
      <c r="A863" s="6"/>
      <c r="B863" s="11" t="s">
        <v>37</v>
      </c>
      <c r="C863" s="7" t="s">
        <v>26</v>
      </c>
      <c r="D863" s="7"/>
      <c r="E863" s="7"/>
      <c r="F863" s="7">
        <f t="shared" si="144"/>
        <v>24</v>
      </c>
      <c r="G863" s="8"/>
      <c r="H863" s="7">
        <f t="shared" si="142"/>
        <v>0</v>
      </c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9">
        <f t="shared" si="149"/>
        <v>24</v>
      </c>
      <c r="T863" s="10">
        <f t="shared" si="150"/>
        <v>0</v>
      </c>
      <c r="U863" s="10"/>
    </row>
    <row r="864" spans="1:25">
      <c r="A864" s="6"/>
      <c r="B864" s="11" t="s">
        <v>38</v>
      </c>
      <c r="C864" s="7" t="s">
        <v>26</v>
      </c>
      <c r="D864" s="7"/>
      <c r="E864" s="7"/>
      <c r="F864" s="7">
        <f t="shared" ref="F864:F875" si="151">S779</f>
        <v>0</v>
      </c>
      <c r="G864" s="8"/>
      <c r="H864" s="7">
        <f t="shared" si="142"/>
        <v>0</v>
      </c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9">
        <f t="shared" si="149"/>
        <v>0</v>
      </c>
      <c r="T864" s="10">
        <f t="shared" si="150"/>
        <v>0</v>
      </c>
      <c r="U864" s="10"/>
    </row>
    <row r="865" spans="1:21">
      <c r="A865" s="6"/>
      <c r="B865" s="11" t="s">
        <v>39</v>
      </c>
      <c r="C865" s="7" t="s">
        <v>26</v>
      </c>
      <c r="D865" s="7"/>
      <c r="E865" s="7"/>
      <c r="F865" s="7">
        <f t="shared" si="151"/>
        <v>1700</v>
      </c>
      <c r="G865" s="8"/>
      <c r="H865" s="7">
        <f t="shared" si="142"/>
        <v>0</v>
      </c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9">
        <f t="shared" si="149"/>
        <v>1700</v>
      </c>
      <c r="T865" s="10">
        <f t="shared" si="150"/>
        <v>0</v>
      </c>
      <c r="U865" s="10"/>
    </row>
    <row r="866" spans="1:21">
      <c r="A866" s="6"/>
      <c r="B866" s="11" t="s">
        <v>40</v>
      </c>
      <c r="C866" s="7" t="s">
        <v>41</v>
      </c>
      <c r="D866" s="7"/>
      <c r="E866" s="7"/>
      <c r="F866" s="7">
        <f t="shared" si="151"/>
        <v>0</v>
      </c>
      <c r="G866" s="8"/>
      <c r="H866" s="7">
        <f t="shared" si="142"/>
        <v>0</v>
      </c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9">
        <f t="shared" si="149"/>
        <v>0</v>
      </c>
      <c r="T866" s="10">
        <f t="shared" si="150"/>
        <v>0</v>
      </c>
      <c r="U866" s="10"/>
    </row>
    <row r="867" spans="1:21">
      <c r="A867" s="6"/>
      <c r="B867" s="11" t="s">
        <v>42</v>
      </c>
      <c r="C867" s="7" t="s">
        <v>41</v>
      </c>
      <c r="D867" s="7"/>
      <c r="E867" s="7"/>
      <c r="F867" s="7">
        <f t="shared" si="151"/>
        <v>53</v>
      </c>
      <c r="G867" s="8"/>
      <c r="H867" s="7">
        <f t="shared" si="142"/>
        <v>0</v>
      </c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9">
        <f t="shared" si="149"/>
        <v>53</v>
      </c>
      <c r="T867" s="10">
        <f t="shared" si="150"/>
        <v>0</v>
      </c>
      <c r="U867" s="10"/>
    </row>
    <row r="868" spans="1:21">
      <c r="A868" s="6"/>
      <c r="B868" s="11" t="s">
        <v>43</v>
      </c>
      <c r="C868" s="7" t="s">
        <v>41</v>
      </c>
      <c r="D868" s="7"/>
      <c r="E868" s="7"/>
      <c r="F868" s="7">
        <f t="shared" si="151"/>
        <v>0</v>
      </c>
      <c r="G868" s="8"/>
      <c r="H868" s="7">
        <f t="shared" si="142"/>
        <v>0</v>
      </c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9">
        <f t="shared" si="149"/>
        <v>0</v>
      </c>
      <c r="T868" s="10">
        <f t="shared" si="150"/>
        <v>0</v>
      </c>
      <c r="U868" s="10"/>
    </row>
    <row r="869" spans="1:21">
      <c r="A869" s="6"/>
      <c r="B869" s="11" t="s">
        <v>44</v>
      </c>
      <c r="C869" s="7" t="s">
        <v>41</v>
      </c>
      <c r="D869" s="7"/>
      <c r="E869" s="7"/>
      <c r="F869" s="7">
        <f t="shared" si="151"/>
        <v>75</v>
      </c>
      <c r="G869" s="8"/>
      <c r="H869" s="7">
        <f t="shared" si="142"/>
        <v>0</v>
      </c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9">
        <f t="shared" si="149"/>
        <v>75</v>
      </c>
      <c r="T869" s="10">
        <f t="shared" si="150"/>
        <v>0</v>
      </c>
      <c r="U869" s="10"/>
    </row>
    <row r="870" spans="1:21">
      <c r="A870" s="6"/>
      <c r="B870" s="11" t="s">
        <v>45</v>
      </c>
      <c r="C870" s="7" t="s">
        <v>41</v>
      </c>
      <c r="D870" s="7"/>
      <c r="E870" s="7"/>
      <c r="F870" s="7">
        <f t="shared" ref="F870:F895" si="152">S785</f>
        <v>0</v>
      </c>
      <c r="G870" s="8"/>
      <c r="H870" s="7">
        <f t="shared" si="142"/>
        <v>0</v>
      </c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9">
        <f t="shared" si="149"/>
        <v>0</v>
      </c>
      <c r="T870" s="10">
        <f t="shared" si="150"/>
        <v>0</v>
      </c>
      <c r="U870" s="10"/>
    </row>
    <row r="871" spans="1:21">
      <c r="A871" s="6"/>
      <c r="B871" s="11" t="s">
        <v>46</v>
      </c>
      <c r="C871" s="7" t="s">
        <v>41</v>
      </c>
      <c r="D871" s="7"/>
      <c r="E871" s="7"/>
      <c r="F871" s="7">
        <f t="shared" si="152"/>
        <v>17</v>
      </c>
      <c r="G871" s="8"/>
      <c r="H871" s="7">
        <f t="shared" si="142"/>
        <v>0</v>
      </c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9">
        <f t="shared" si="149"/>
        <v>17</v>
      </c>
      <c r="T871" s="10">
        <f t="shared" si="150"/>
        <v>0</v>
      </c>
      <c r="U871" s="10"/>
    </row>
    <row r="872" spans="1:21">
      <c r="A872" s="6"/>
      <c r="B872" s="11" t="s">
        <v>47</v>
      </c>
      <c r="C872" s="7" t="s">
        <v>26</v>
      </c>
      <c r="D872" s="7"/>
      <c r="E872" s="7"/>
      <c r="F872" s="7">
        <f t="shared" si="152"/>
        <v>0</v>
      </c>
      <c r="G872" s="8"/>
      <c r="H872" s="7">
        <f t="shared" si="142"/>
        <v>0</v>
      </c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9">
        <f t="shared" si="149"/>
        <v>0</v>
      </c>
      <c r="T872" s="10">
        <f t="shared" si="150"/>
        <v>0</v>
      </c>
      <c r="U872" s="10"/>
    </row>
    <row r="873" spans="1:21">
      <c r="A873" s="6"/>
      <c r="B873" s="11" t="s">
        <v>48</v>
      </c>
      <c r="C873" s="7" t="s">
        <v>26</v>
      </c>
      <c r="D873" s="7"/>
      <c r="E873" s="7"/>
      <c r="F873" s="7">
        <f t="shared" si="152"/>
        <v>37147</v>
      </c>
      <c r="G873" s="8"/>
      <c r="H873" s="7">
        <f t="shared" si="142"/>
        <v>0</v>
      </c>
      <c r="I873" s="7"/>
      <c r="J873" s="7">
        <v>2670</v>
      </c>
      <c r="K873" s="7"/>
      <c r="L873" s="7"/>
      <c r="M873" s="7"/>
      <c r="N873" s="7"/>
      <c r="O873" s="7"/>
      <c r="P873" s="7"/>
      <c r="Q873" s="7"/>
      <c r="R873" s="7"/>
      <c r="S873" s="9">
        <f t="shared" si="149"/>
        <v>34477</v>
      </c>
      <c r="T873" s="10">
        <f t="shared" si="150"/>
        <v>0</v>
      </c>
      <c r="U873" s="10" t="s">
        <v>115</v>
      </c>
    </row>
    <row r="874" spans="1:21">
      <c r="A874" s="6"/>
      <c r="B874" s="11" t="s">
        <v>50</v>
      </c>
      <c r="C874" s="7" t="s">
        <v>26</v>
      </c>
      <c r="D874" s="7"/>
      <c r="E874" s="7"/>
      <c r="F874" s="7">
        <f t="shared" si="152"/>
        <v>0</v>
      </c>
      <c r="G874" s="8"/>
      <c r="H874" s="7">
        <f t="shared" si="142"/>
        <v>0</v>
      </c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9">
        <f t="shared" si="149"/>
        <v>0</v>
      </c>
      <c r="T874" s="10">
        <f t="shared" si="150"/>
        <v>0</v>
      </c>
      <c r="U874" s="10"/>
    </row>
    <row r="875" spans="1:21">
      <c r="A875" s="6"/>
      <c r="B875" s="11" t="s">
        <v>51</v>
      </c>
      <c r="C875" s="7" t="s">
        <v>26</v>
      </c>
      <c r="D875" s="7"/>
      <c r="E875" s="7"/>
      <c r="F875" s="7">
        <f t="shared" si="152"/>
        <v>0</v>
      </c>
      <c r="G875" s="8"/>
      <c r="H875" s="7">
        <f t="shared" si="142"/>
        <v>0</v>
      </c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9">
        <f t="shared" si="149"/>
        <v>0</v>
      </c>
      <c r="T875" s="10">
        <f t="shared" si="150"/>
        <v>0</v>
      </c>
      <c r="U875" s="10"/>
    </row>
    <row r="876" spans="1:21">
      <c r="A876" s="6"/>
      <c r="B876" s="11" t="s">
        <v>52</v>
      </c>
      <c r="C876" s="7" t="s">
        <v>26</v>
      </c>
      <c r="D876" s="7"/>
      <c r="E876" s="7"/>
      <c r="F876" s="7">
        <f t="shared" si="152"/>
        <v>11302</v>
      </c>
      <c r="G876" s="8"/>
      <c r="H876" s="7">
        <f t="shared" si="142"/>
        <v>0</v>
      </c>
      <c r="I876" s="7"/>
      <c r="J876" s="7">
        <v>806</v>
      </c>
      <c r="K876" s="7"/>
      <c r="L876" s="7"/>
      <c r="M876" s="7"/>
      <c r="N876" s="7"/>
      <c r="O876" s="7"/>
      <c r="P876" s="7"/>
      <c r="Q876" s="7"/>
      <c r="R876" s="7"/>
      <c r="S876" s="9">
        <f t="shared" si="149"/>
        <v>10496</v>
      </c>
      <c r="T876" s="10">
        <f t="shared" si="150"/>
        <v>0</v>
      </c>
      <c r="U876" s="10"/>
    </row>
    <row r="877" spans="1:21">
      <c r="A877" s="6"/>
      <c r="B877" s="11" t="s">
        <v>53</v>
      </c>
      <c r="C877" s="7" t="s">
        <v>54</v>
      </c>
      <c r="D877" s="7"/>
      <c r="E877" s="7"/>
      <c r="F877" s="7">
        <f t="shared" si="152"/>
        <v>0</v>
      </c>
      <c r="G877" s="8"/>
      <c r="H877" s="7">
        <f t="shared" si="142"/>
        <v>0</v>
      </c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9">
        <f t="shared" si="149"/>
        <v>0</v>
      </c>
      <c r="T877" s="10">
        <f t="shared" si="150"/>
        <v>0</v>
      </c>
      <c r="U877" s="10"/>
    </row>
    <row r="878" spans="1:21">
      <c r="A878" s="6"/>
      <c r="B878" s="11" t="s">
        <v>55</v>
      </c>
      <c r="C878" s="7" t="s">
        <v>54</v>
      </c>
      <c r="D878" s="7"/>
      <c r="E878" s="7"/>
      <c r="F878" s="7">
        <f t="shared" si="152"/>
        <v>15</v>
      </c>
      <c r="G878" s="8"/>
      <c r="H878" s="7">
        <f t="shared" si="142"/>
        <v>0</v>
      </c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9">
        <f t="shared" si="149"/>
        <v>15</v>
      </c>
      <c r="T878" s="10">
        <f t="shared" si="150"/>
        <v>0</v>
      </c>
      <c r="U878" s="10"/>
    </row>
    <row r="879" spans="1:21">
      <c r="A879" s="6"/>
      <c r="B879" s="11" t="s">
        <v>56</v>
      </c>
      <c r="C879" s="7" t="s">
        <v>54</v>
      </c>
      <c r="D879" s="7"/>
      <c r="E879" s="7"/>
      <c r="F879" s="7">
        <f t="shared" si="152"/>
        <v>3586</v>
      </c>
      <c r="G879" s="8"/>
      <c r="H879" s="7">
        <f t="shared" si="142"/>
        <v>0</v>
      </c>
      <c r="I879" s="7"/>
      <c r="J879" s="7">
        <v>270</v>
      </c>
      <c r="K879" s="7"/>
      <c r="L879" s="7"/>
      <c r="M879" s="7"/>
      <c r="N879" s="7"/>
      <c r="O879" s="7"/>
      <c r="P879" s="7"/>
      <c r="Q879" s="7"/>
      <c r="R879" s="7"/>
      <c r="S879" s="9">
        <f t="shared" si="149"/>
        <v>3316</v>
      </c>
      <c r="T879" s="10">
        <f t="shared" si="150"/>
        <v>0</v>
      </c>
      <c r="U879" s="10"/>
    </row>
    <row r="880" spans="1:21">
      <c r="A880" s="6"/>
      <c r="B880" s="11" t="s">
        <v>57</v>
      </c>
      <c r="C880" s="7" t="s">
        <v>54</v>
      </c>
      <c r="D880" s="7"/>
      <c r="E880" s="7"/>
      <c r="F880" s="7">
        <f t="shared" si="152"/>
        <v>750</v>
      </c>
      <c r="G880" s="8"/>
      <c r="H880" s="7">
        <f t="shared" ref="H880:H943" si="153">T795</f>
        <v>0</v>
      </c>
      <c r="I880" s="7"/>
      <c r="J880" s="7"/>
      <c r="K880" s="7"/>
      <c r="L880" s="7"/>
      <c r="M880" s="7">
        <v>5</v>
      </c>
      <c r="N880" s="7"/>
      <c r="O880" s="7"/>
      <c r="P880" s="7"/>
      <c r="Q880" s="7"/>
      <c r="R880" s="7"/>
      <c r="S880" s="9">
        <f t="shared" si="149"/>
        <v>755</v>
      </c>
      <c r="T880" s="10">
        <f t="shared" si="150"/>
        <v>0</v>
      </c>
      <c r="U880" s="10"/>
    </row>
    <row r="881" spans="1:21">
      <c r="A881" s="6"/>
      <c r="B881" s="11" t="s">
        <v>58</v>
      </c>
      <c r="C881" s="7" t="s">
        <v>54</v>
      </c>
      <c r="D881" s="7"/>
      <c r="E881" s="7"/>
      <c r="F881" s="7">
        <f t="shared" si="152"/>
        <v>0</v>
      </c>
      <c r="G881" s="8"/>
      <c r="H881" s="7">
        <f t="shared" si="153"/>
        <v>0</v>
      </c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9">
        <f t="shared" si="149"/>
        <v>0</v>
      </c>
      <c r="T881" s="10">
        <f t="shared" si="150"/>
        <v>0</v>
      </c>
      <c r="U881" s="10"/>
    </row>
    <row r="882" spans="1:21">
      <c r="A882" s="6"/>
      <c r="B882" s="11" t="s">
        <v>59</v>
      </c>
      <c r="C882" s="7" t="s">
        <v>54</v>
      </c>
      <c r="D882" s="7"/>
      <c r="E882" s="7"/>
      <c r="F882" s="7">
        <f t="shared" si="152"/>
        <v>19</v>
      </c>
      <c r="G882" s="8"/>
      <c r="H882" s="7">
        <f t="shared" si="153"/>
        <v>0</v>
      </c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9">
        <f t="shared" si="149"/>
        <v>19</v>
      </c>
      <c r="T882" s="10">
        <f t="shared" si="150"/>
        <v>0</v>
      </c>
      <c r="U882" s="10"/>
    </row>
    <row r="883" spans="1:21">
      <c r="A883" s="6"/>
      <c r="B883" s="11" t="s">
        <v>60</v>
      </c>
      <c r="C883" s="7" t="s">
        <v>61</v>
      </c>
      <c r="D883" s="7"/>
      <c r="E883" s="7"/>
      <c r="F883" s="7">
        <f t="shared" si="152"/>
        <v>0</v>
      </c>
      <c r="G883" s="8"/>
      <c r="H883" s="7">
        <f t="shared" si="153"/>
        <v>0</v>
      </c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9">
        <f t="shared" si="149"/>
        <v>0</v>
      </c>
      <c r="T883" s="10">
        <f t="shared" si="150"/>
        <v>0</v>
      </c>
      <c r="U883" s="10"/>
    </row>
    <row r="884" spans="1:21">
      <c r="A884" s="6"/>
      <c r="B884" s="11" t="s">
        <v>62</v>
      </c>
      <c r="C884" s="7" t="s">
        <v>61</v>
      </c>
      <c r="D884" s="7"/>
      <c r="E884" s="7"/>
      <c r="F884" s="7">
        <f t="shared" si="152"/>
        <v>11</v>
      </c>
      <c r="G884" s="8"/>
      <c r="H884" s="7">
        <f t="shared" si="153"/>
        <v>0</v>
      </c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9">
        <f t="shared" si="149"/>
        <v>11</v>
      </c>
      <c r="T884" s="10">
        <f t="shared" si="150"/>
        <v>0</v>
      </c>
      <c r="U884" s="10"/>
    </row>
    <row r="885" spans="1:21">
      <c r="A885" s="6"/>
      <c r="B885" s="10" t="s">
        <v>63</v>
      </c>
      <c r="C885" s="10" t="s">
        <v>41</v>
      </c>
      <c r="D885" s="7"/>
      <c r="E885" s="7"/>
      <c r="F885" s="7">
        <f t="shared" si="152"/>
        <v>0</v>
      </c>
      <c r="G885" s="8"/>
      <c r="H885" s="7">
        <f t="shared" si="153"/>
        <v>0</v>
      </c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9">
        <f t="shared" si="149"/>
        <v>0</v>
      </c>
      <c r="T885" s="10">
        <f t="shared" si="150"/>
        <v>0</v>
      </c>
      <c r="U885" s="10"/>
    </row>
    <row r="886" spans="1:21">
      <c r="A886" s="6"/>
      <c r="B886" s="10" t="s">
        <v>64</v>
      </c>
      <c r="C886" s="10" t="s">
        <v>41</v>
      </c>
      <c r="D886" s="7"/>
      <c r="E886" s="7"/>
      <c r="F886" s="7">
        <f t="shared" si="152"/>
        <v>5</v>
      </c>
      <c r="G886" s="8"/>
      <c r="H886" s="7">
        <f t="shared" si="153"/>
        <v>0</v>
      </c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9">
        <f t="shared" si="149"/>
        <v>5</v>
      </c>
      <c r="T886" s="10">
        <f t="shared" si="150"/>
        <v>0</v>
      </c>
      <c r="U886" s="10"/>
    </row>
    <row r="887" spans="1:21">
      <c r="A887" s="6"/>
      <c r="B887" s="11" t="s">
        <v>65</v>
      </c>
      <c r="C887" s="7" t="s">
        <v>26</v>
      </c>
      <c r="D887" s="7"/>
      <c r="E887" s="7"/>
      <c r="F887" s="7">
        <f t="shared" si="152"/>
        <v>0</v>
      </c>
      <c r="G887" s="8"/>
      <c r="H887" s="7">
        <f t="shared" si="153"/>
        <v>0</v>
      </c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9">
        <f t="shared" si="149"/>
        <v>0</v>
      </c>
      <c r="T887" s="10">
        <f t="shared" si="150"/>
        <v>0</v>
      </c>
      <c r="U887" s="10"/>
    </row>
    <row r="888" spans="1:21">
      <c r="A888" s="6"/>
      <c r="B888" s="11" t="s">
        <v>66</v>
      </c>
      <c r="C888" s="7" t="s">
        <v>26</v>
      </c>
      <c r="D888" s="7"/>
      <c r="E888" s="7"/>
      <c r="F888" s="7">
        <f t="shared" si="152"/>
        <v>71</v>
      </c>
      <c r="G888" s="8"/>
      <c r="H888" s="7">
        <f t="shared" si="153"/>
        <v>0</v>
      </c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9">
        <f t="shared" si="149"/>
        <v>71</v>
      </c>
      <c r="T888" s="10">
        <f t="shared" si="150"/>
        <v>0</v>
      </c>
      <c r="U888" s="10"/>
    </row>
    <row r="889" spans="1:21">
      <c r="A889" s="6"/>
      <c r="B889" s="11" t="s">
        <v>67</v>
      </c>
      <c r="C889" s="7" t="s">
        <v>26</v>
      </c>
      <c r="D889" s="7"/>
      <c r="E889" s="7"/>
      <c r="F889" s="7">
        <f t="shared" si="152"/>
        <v>0</v>
      </c>
      <c r="G889" s="8"/>
      <c r="H889" s="7">
        <f t="shared" si="153"/>
        <v>0</v>
      </c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9">
        <f t="shared" si="149"/>
        <v>0</v>
      </c>
      <c r="T889" s="10">
        <f t="shared" si="150"/>
        <v>0</v>
      </c>
      <c r="U889" s="10"/>
    </row>
    <row r="890" spans="1:21">
      <c r="A890" s="6"/>
      <c r="B890" s="11" t="s">
        <v>68</v>
      </c>
      <c r="C890" s="7" t="s">
        <v>26</v>
      </c>
      <c r="D890" s="7"/>
      <c r="E890" s="7"/>
      <c r="F890" s="7">
        <f t="shared" si="152"/>
        <v>7</v>
      </c>
      <c r="G890" s="8"/>
      <c r="H890" s="7">
        <f t="shared" si="153"/>
        <v>0</v>
      </c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9">
        <f t="shared" si="149"/>
        <v>7</v>
      </c>
      <c r="T890" s="10">
        <f t="shared" si="150"/>
        <v>0</v>
      </c>
      <c r="U890" s="10"/>
    </row>
    <row r="891" spans="1:21">
      <c r="A891" s="6"/>
      <c r="B891" s="11" t="s">
        <v>69</v>
      </c>
      <c r="C891" s="7" t="s">
        <v>41</v>
      </c>
      <c r="D891" s="7"/>
      <c r="E891" s="7"/>
      <c r="F891" s="7">
        <f t="shared" ref="F891:F905" si="154">S806</f>
        <v>0</v>
      </c>
      <c r="G891" s="8"/>
      <c r="H891" s="7">
        <f t="shared" si="153"/>
        <v>0</v>
      </c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9">
        <f t="shared" si="149"/>
        <v>0</v>
      </c>
      <c r="T891" s="10">
        <f t="shared" si="150"/>
        <v>0</v>
      </c>
      <c r="U891" s="10"/>
    </row>
    <row r="892" spans="1:21">
      <c r="A892" s="6"/>
      <c r="B892" s="11" t="s">
        <v>70</v>
      </c>
      <c r="C892" s="7" t="s">
        <v>41</v>
      </c>
      <c r="D892" s="7"/>
      <c r="E892" s="7"/>
      <c r="F892" s="7">
        <f t="shared" si="154"/>
        <v>13</v>
      </c>
      <c r="G892" s="8"/>
      <c r="H892" s="7">
        <f t="shared" si="153"/>
        <v>0</v>
      </c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9">
        <f t="shared" si="149"/>
        <v>13</v>
      </c>
      <c r="T892" s="10">
        <f t="shared" si="150"/>
        <v>0</v>
      </c>
      <c r="U892" s="10"/>
    </row>
    <row r="893" spans="1:21">
      <c r="A893" s="6"/>
      <c r="B893" s="11" t="s">
        <v>71</v>
      </c>
      <c r="C893" s="7" t="s">
        <v>61</v>
      </c>
      <c r="D893" s="7"/>
      <c r="E893" s="7"/>
      <c r="F893" s="7">
        <f t="shared" si="154"/>
        <v>0</v>
      </c>
      <c r="G893" s="8"/>
      <c r="H893" s="7">
        <f t="shared" si="153"/>
        <v>0</v>
      </c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9">
        <f t="shared" si="149"/>
        <v>0</v>
      </c>
      <c r="T893" s="10">
        <f t="shared" si="150"/>
        <v>0</v>
      </c>
      <c r="U893" s="10"/>
    </row>
    <row r="894" spans="1:21">
      <c r="A894" s="6"/>
      <c r="B894" s="11" t="s">
        <v>72</v>
      </c>
      <c r="C894" s="7" t="s">
        <v>61</v>
      </c>
      <c r="D894" s="7"/>
      <c r="E894" s="7"/>
      <c r="F894" s="7">
        <f t="shared" si="154"/>
        <v>8</v>
      </c>
      <c r="G894" s="8"/>
      <c r="H894" s="7">
        <f t="shared" si="153"/>
        <v>0</v>
      </c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9">
        <f t="shared" si="149"/>
        <v>8</v>
      </c>
      <c r="T894" s="10">
        <f t="shared" si="150"/>
        <v>0</v>
      </c>
      <c r="U894" s="10"/>
    </row>
    <row r="895" spans="1:21">
      <c r="A895" s="6"/>
      <c r="B895" s="11" t="s">
        <v>73</v>
      </c>
      <c r="C895" s="7" t="s">
        <v>26</v>
      </c>
      <c r="D895" s="7"/>
      <c r="E895" s="7"/>
      <c r="F895" s="7">
        <f t="shared" si="154"/>
        <v>0</v>
      </c>
      <c r="G895" s="8"/>
      <c r="H895" s="7">
        <f t="shared" si="153"/>
        <v>0</v>
      </c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9">
        <f t="shared" si="149"/>
        <v>0</v>
      </c>
      <c r="T895" s="10">
        <f t="shared" si="150"/>
        <v>0</v>
      </c>
      <c r="U895" s="10"/>
    </row>
    <row r="896" spans="1:21">
      <c r="A896" s="6"/>
      <c r="B896" s="11" t="s">
        <v>74</v>
      </c>
      <c r="C896" s="7" t="s">
        <v>26</v>
      </c>
      <c r="D896" s="7"/>
      <c r="E896" s="7"/>
      <c r="F896" s="7">
        <f t="shared" si="154"/>
        <v>22</v>
      </c>
      <c r="G896" s="8"/>
      <c r="H896" s="7">
        <f t="shared" si="153"/>
        <v>0</v>
      </c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9">
        <f t="shared" si="149"/>
        <v>22</v>
      </c>
      <c r="T896" s="10">
        <f t="shared" si="150"/>
        <v>0</v>
      </c>
      <c r="U896" s="10"/>
    </row>
    <row r="897" spans="1:21">
      <c r="A897" s="6"/>
      <c r="B897" s="11" t="s">
        <v>75</v>
      </c>
      <c r="C897" s="7" t="s">
        <v>26</v>
      </c>
      <c r="D897" s="7"/>
      <c r="E897" s="7"/>
      <c r="F897" s="7">
        <f t="shared" si="154"/>
        <v>0</v>
      </c>
      <c r="G897" s="8"/>
      <c r="H897" s="7">
        <f t="shared" si="153"/>
        <v>0</v>
      </c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9">
        <f t="shared" si="149"/>
        <v>0</v>
      </c>
      <c r="T897" s="10">
        <f t="shared" si="150"/>
        <v>0</v>
      </c>
      <c r="U897" s="10"/>
    </row>
    <row r="898" spans="1:21">
      <c r="A898" s="6"/>
      <c r="B898" s="11" t="s">
        <v>76</v>
      </c>
      <c r="C898" s="7" t="s">
        <v>26</v>
      </c>
      <c r="D898" s="7"/>
      <c r="E898" s="7"/>
      <c r="F898" s="7">
        <f t="shared" si="154"/>
        <v>20</v>
      </c>
      <c r="G898" s="8"/>
      <c r="H898" s="7">
        <f t="shared" si="153"/>
        <v>0</v>
      </c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9">
        <f t="shared" si="149"/>
        <v>20</v>
      </c>
      <c r="T898" s="10">
        <f t="shared" si="150"/>
        <v>0</v>
      </c>
      <c r="U898" s="10"/>
    </row>
    <row r="899" spans="1:21">
      <c r="A899" s="6"/>
      <c r="B899" s="11" t="s">
        <v>77</v>
      </c>
      <c r="C899" s="7" t="s">
        <v>61</v>
      </c>
      <c r="D899" s="7"/>
      <c r="E899" s="7"/>
      <c r="F899" s="7">
        <f t="shared" si="154"/>
        <v>0</v>
      </c>
      <c r="G899" s="8"/>
      <c r="H899" s="7">
        <f t="shared" si="153"/>
        <v>0</v>
      </c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9">
        <f t="shared" si="149"/>
        <v>0</v>
      </c>
      <c r="T899" s="10">
        <f t="shared" si="150"/>
        <v>0</v>
      </c>
      <c r="U899" s="10"/>
    </row>
    <row r="900" spans="1:21">
      <c r="A900" s="6"/>
      <c r="B900" s="11" t="s">
        <v>78</v>
      </c>
      <c r="C900" s="7" t="s">
        <v>61</v>
      </c>
      <c r="D900" s="7"/>
      <c r="E900" s="7"/>
      <c r="F900" s="7">
        <f t="shared" si="154"/>
        <v>69</v>
      </c>
      <c r="G900" s="8"/>
      <c r="H900" s="7">
        <f t="shared" si="153"/>
        <v>0</v>
      </c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9">
        <f t="shared" si="149"/>
        <v>69</v>
      </c>
      <c r="T900" s="10">
        <f t="shared" si="150"/>
        <v>0</v>
      </c>
      <c r="U900" s="10"/>
    </row>
    <row r="901" spans="1:21">
      <c r="A901" s="6"/>
      <c r="B901" s="11" t="s">
        <v>105</v>
      </c>
      <c r="C901" s="7" t="s">
        <v>26</v>
      </c>
      <c r="D901" s="7"/>
      <c r="E901" s="7"/>
      <c r="F901" s="7">
        <f t="shared" si="154"/>
        <v>910</v>
      </c>
      <c r="G901" s="8"/>
      <c r="H901" s="7">
        <f t="shared" si="153"/>
        <v>0</v>
      </c>
      <c r="I901" s="7"/>
      <c r="J901" s="7">
        <v>240</v>
      </c>
      <c r="K901" s="7"/>
      <c r="L901" s="7"/>
      <c r="M901" s="7"/>
      <c r="N901" s="7"/>
      <c r="O901" s="7"/>
      <c r="P901" s="7"/>
      <c r="Q901" s="7"/>
      <c r="R901" s="7"/>
      <c r="S901" s="9">
        <f t="shared" si="149"/>
        <v>670</v>
      </c>
      <c r="T901" s="10">
        <f t="shared" si="150"/>
        <v>0</v>
      </c>
      <c r="U901" s="10"/>
    </row>
    <row r="902" spans="1:21">
      <c r="A902" s="6"/>
      <c r="B902" s="11" t="s">
        <v>80</v>
      </c>
      <c r="C902" s="7" t="s">
        <v>26</v>
      </c>
      <c r="D902" s="7"/>
      <c r="E902" s="7"/>
      <c r="F902" s="7">
        <f t="shared" si="154"/>
        <v>615</v>
      </c>
      <c r="G902" s="8"/>
      <c r="H902" s="7">
        <f t="shared" si="153"/>
        <v>0</v>
      </c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9">
        <f t="shared" si="149"/>
        <v>615</v>
      </c>
      <c r="T902" s="10">
        <f t="shared" si="150"/>
        <v>0</v>
      </c>
      <c r="U902" s="10"/>
    </row>
    <row r="903" spans="1:21">
      <c r="A903" s="6"/>
      <c r="B903" s="11" t="s">
        <v>81</v>
      </c>
      <c r="C903" s="7" t="s">
        <v>26</v>
      </c>
      <c r="D903" s="7"/>
      <c r="E903" s="7"/>
      <c r="F903" s="7">
        <f t="shared" ref="F903:F918" si="155">S818</f>
        <v>0</v>
      </c>
      <c r="G903" s="8"/>
      <c r="H903" s="7">
        <f t="shared" si="153"/>
        <v>0</v>
      </c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9">
        <f t="shared" si="149"/>
        <v>0</v>
      </c>
      <c r="T903" s="10">
        <f t="shared" si="150"/>
        <v>0</v>
      </c>
      <c r="U903" s="10"/>
    </row>
    <row r="904" spans="1:21">
      <c r="A904" s="6"/>
      <c r="B904" s="11" t="s">
        <v>82</v>
      </c>
      <c r="C904" s="7" t="s">
        <v>26</v>
      </c>
      <c r="D904" s="7"/>
      <c r="E904" s="7"/>
      <c r="F904" s="7">
        <f t="shared" si="155"/>
        <v>14</v>
      </c>
      <c r="G904" s="8"/>
      <c r="H904" s="7">
        <f t="shared" si="153"/>
        <v>0</v>
      </c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9">
        <f t="shared" si="149"/>
        <v>14</v>
      </c>
      <c r="T904" s="10">
        <f t="shared" si="150"/>
        <v>0</v>
      </c>
      <c r="U904" s="10"/>
    </row>
    <row r="905" spans="1:21">
      <c r="A905" s="6"/>
      <c r="B905" s="11" t="s">
        <v>83</v>
      </c>
      <c r="C905" s="7" t="s">
        <v>26</v>
      </c>
      <c r="D905" s="7"/>
      <c r="E905" s="7"/>
      <c r="F905" s="7">
        <f t="shared" si="155"/>
        <v>0</v>
      </c>
      <c r="G905" s="8"/>
      <c r="H905" s="7">
        <f t="shared" si="153"/>
        <v>0</v>
      </c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9">
        <f t="shared" si="149"/>
        <v>0</v>
      </c>
      <c r="T905" s="10">
        <f t="shared" si="150"/>
        <v>0</v>
      </c>
      <c r="U905" s="10"/>
    </row>
    <row r="906" spans="1:21">
      <c r="A906" s="6"/>
      <c r="B906" s="11" t="s">
        <v>84</v>
      </c>
      <c r="C906" s="7" t="s">
        <v>26</v>
      </c>
      <c r="D906" s="7"/>
      <c r="E906" s="7"/>
      <c r="F906" s="7">
        <f t="shared" si="155"/>
        <v>28</v>
      </c>
      <c r="G906" s="8"/>
      <c r="H906" s="7">
        <f t="shared" si="153"/>
        <v>0</v>
      </c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9">
        <f t="shared" si="149"/>
        <v>28</v>
      </c>
      <c r="T906" s="10">
        <f t="shared" si="150"/>
        <v>0</v>
      </c>
      <c r="U906" s="10"/>
    </row>
    <row r="907" spans="1:21">
      <c r="A907" s="6"/>
      <c r="B907" s="11" t="s">
        <v>85</v>
      </c>
      <c r="C907" s="7" t="s">
        <v>61</v>
      </c>
      <c r="D907" s="7"/>
      <c r="E907" s="7"/>
      <c r="F907" s="7">
        <f t="shared" si="155"/>
        <v>0</v>
      </c>
      <c r="G907" s="8"/>
      <c r="H907" s="7">
        <f t="shared" si="153"/>
        <v>0</v>
      </c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9">
        <f t="shared" si="149"/>
        <v>0</v>
      </c>
      <c r="T907" s="10">
        <f t="shared" si="150"/>
        <v>0</v>
      </c>
      <c r="U907" s="10"/>
    </row>
    <row r="908" spans="1:21">
      <c r="A908" s="6"/>
      <c r="B908" s="11" t="s">
        <v>86</v>
      </c>
      <c r="C908" s="7" t="s">
        <v>61</v>
      </c>
      <c r="D908" s="7"/>
      <c r="E908" s="7"/>
      <c r="F908" s="7">
        <f t="shared" si="155"/>
        <v>10</v>
      </c>
      <c r="G908" s="8"/>
      <c r="H908" s="7">
        <f t="shared" si="153"/>
        <v>0</v>
      </c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9">
        <f t="shared" si="149"/>
        <v>10</v>
      </c>
      <c r="T908" s="10">
        <f t="shared" si="150"/>
        <v>0</v>
      </c>
      <c r="U908" s="10"/>
    </row>
    <row r="909" spans="1:21">
      <c r="A909" s="6"/>
      <c r="B909" s="11" t="s">
        <v>87</v>
      </c>
      <c r="C909" s="7" t="s">
        <v>26</v>
      </c>
      <c r="D909" s="7"/>
      <c r="E909" s="7"/>
      <c r="F909" s="7">
        <f t="shared" si="155"/>
        <v>0</v>
      </c>
      <c r="G909" s="8"/>
      <c r="H909" s="7">
        <f t="shared" si="153"/>
        <v>0</v>
      </c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9">
        <f t="shared" si="149"/>
        <v>0</v>
      </c>
      <c r="T909" s="10">
        <f t="shared" si="150"/>
        <v>0</v>
      </c>
      <c r="U909" s="10"/>
    </row>
    <row r="910" spans="1:21">
      <c r="A910" s="6"/>
      <c r="B910" s="11" t="s">
        <v>88</v>
      </c>
      <c r="C910" s="10"/>
      <c r="D910" s="7"/>
      <c r="E910" s="7"/>
      <c r="F910" s="7">
        <f t="shared" si="155"/>
        <v>0</v>
      </c>
      <c r="G910" s="8"/>
      <c r="H910" s="7">
        <f t="shared" si="153"/>
        <v>0</v>
      </c>
      <c r="I910" s="7"/>
      <c r="J910" s="7"/>
      <c r="K910" s="7"/>
      <c r="L910" s="7"/>
      <c r="M910" s="7"/>
      <c r="N910" s="7"/>
      <c r="O910" s="7">
        <v>37</v>
      </c>
      <c r="P910" s="7"/>
      <c r="Q910" s="7"/>
      <c r="R910" s="7"/>
      <c r="S910" s="9">
        <f t="shared" si="149"/>
        <v>37</v>
      </c>
      <c r="T910" s="10">
        <f t="shared" si="150"/>
        <v>0</v>
      </c>
      <c r="U910" s="10"/>
    </row>
    <row r="911" spans="1:21">
      <c r="A911" s="6"/>
      <c r="B911" s="11" t="s">
        <v>89</v>
      </c>
      <c r="C911" s="7" t="s">
        <v>26</v>
      </c>
      <c r="D911" s="7"/>
      <c r="E911" s="7"/>
      <c r="F911" s="7">
        <f t="shared" si="155"/>
        <v>858</v>
      </c>
      <c r="G911" s="8"/>
      <c r="H911" s="7">
        <f t="shared" si="153"/>
        <v>0</v>
      </c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9">
        <f t="shared" si="149"/>
        <v>858</v>
      </c>
      <c r="T911" s="10">
        <f t="shared" si="150"/>
        <v>0</v>
      </c>
      <c r="U911" s="10"/>
    </row>
    <row r="912" spans="1:21">
      <c r="A912" s="6"/>
      <c r="B912" s="11" t="s">
        <v>90</v>
      </c>
      <c r="C912" s="7" t="s">
        <v>26</v>
      </c>
      <c r="D912" s="7"/>
      <c r="E912" s="7"/>
      <c r="F912" s="7">
        <f t="shared" si="155"/>
        <v>0</v>
      </c>
      <c r="G912" s="8"/>
      <c r="H912" s="7">
        <f t="shared" si="153"/>
        <v>0</v>
      </c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9">
        <f t="shared" si="149"/>
        <v>0</v>
      </c>
      <c r="T912" s="10">
        <f t="shared" si="150"/>
        <v>0</v>
      </c>
      <c r="U912" s="10"/>
    </row>
    <row r="913" spans="1:21">
      <c r="A913" s="6"/>
      <c r="B913" s="11" t="s">
        <v>91</v>
      </c>
      <c r="C913" s="7" t="s">
        <v>26</v>
      </c>
      <c r="D913" s="7"/>
      <c r="E913" s="7"/>
      <c r="F913" s="7">
        <f t="shared" si="155"/>
        <v>138</v>
      </c>
      <c r="G913" s="8"/>
      <c r="H913" s="7">
        <f t="shared" si="153"/>
        <v>0</v>
      </c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9">
        <f t="shared" si="149"/>
        <v>138</v>
      </c>
      <c r="T913" s="10">
        <f t="shared" si="150"/>
        <v>0</v>
      </c>
      <c r="U913" s="10"/>
    </row>
    <row r="914" spans="1:21">
      <c r="A914" s="6"/>
      <c r="B914" s="12" t="s">
        <v>92</v>
      </c>
      <c r="C914" s="13" t="s">
        <v>26</v>
      </c>
      <c r="D914" s="7"/>
      <c r="E914" s="7"/>
      <c r="F914" s="7">
        <f t="shared" si="155"/>
        <v>2265</v>
      </c>
      <c r="G914" s="8"/>
      <c r="H914" s="7">
        <f t="shared" si="153"/>
        <v>0</v>
      </c>
      <c r="I914" s="7"/>
      <c r="J914" s="7">
        <v>360</v>
      </c>
      <c r="K914" s="7"/>
      <c r="L914" s="7"/>
      <c r="M914" s="7"/>
      <c r="N914" s="7"/>
      <c r="O914" s="7"/>
      <c r="P914" s="7"/>
      <c r="Q914" s="7"/>
      <c r="R914" s="7"/>
      <c r="S914" s="9">
        <f t="shared" si="149"/>
        <v>1905</v>
      </c>
      <c r="T914" s="10">
        <f t="shared" si="150"/>
        <v>0</v>
      </c>
      <c r="U914" s="10"/>
    </row>
    <row r="915" spans="1:21">
      <c r="A915" s="6"/>
      <c r="B915" s="12" t="s">
        <v>93</v>
      </c>
      <c r="C915" s="13" t="s">
        <v>26</v>
      </c>
      <c r="D915" s="7"/>
      <c r="E915" s="7"/>
      <c r="F915" s="7">
        <f t="shared" si="155"/>
        <v>2300</v>
      </c>
      <c r="G915" s="8"/>
      <c r="H915" s="7">
        <f t="shared" si="153"/>
        <v>0</v>
      </c>
      <c r="I915" s="7"/>
      <c r="J915" s="7"/>
      <c r="K915" s="7"/>
      <c r="L915" s="7"/>
      <c r="M915" s="7">
        <v>113</v>
      </c>
      <c r="N915" s="7"/>
      <c r="O915" s="7"/>
      <c r="P915" s="7"/>
      <c r="Q915" s="7"/>
      <c r="R915" s="7"/>
      <c r="S915" s="9">
        <f t="shared" si="149"/>
        <v>2413</v>
      </c>
      <c r="T915" s="10">
        <f t="shared" si="150"/>
        <v>0</v>
      </c>
      <c r="U915" s="10"/>
    </row>
    <row r="916" spans="1:21">
      <c r="A916" s="6"/>
      <c r="B916" s="11" t="s">
        <v>94</v>
      </c>
      <c r="C916" s="7" t="s">
        <v>41</v>
      </c>
      <c r="D916" s="7"/>
      <c r="E916" s="7"/>
      <c r="F916" s="7">
        <f t="shared" si="155"/>
        <v>0</v>
      </c>
      <c r="G916" s="8"/>
      <c r="H916" s="7">
        <f t="shared" si="153"/>
        <v>0</v>
      </c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9">
        <f t="shared" si="149"/>
        <v>0</v>
      </c>
      <c r="T916" s="10">
        <f t="shared" si="150"/>
        <v>0</v>
      </c>
      <c r="U916" s="10"/>
    </row>
    <row r="917" spans="1:21">
      <c r="A917" s="6"/>
      <c r="B917" s="11" t="s">
        <v>95</v>
      </c>
      <c r="C917" s="7" t="s">
        <v>41</v>
      </c>
      <c r="D917" s="7"/>
      <c r="E917" s="7"/>
      <c r="F917" s="7">
        <f t="shared" si="155"/>
        <v>39</v>
      </c>
      <c r="G917" s="8"/>
      <c r="H917" s="7">
        <f t="shared" si="153"/>
        <v>0</v>
      </c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9">
        <f t="shared" si="149"/>
        <v>39</v>
      </c>
      <c r="T917" s="10">
        <f t="shared" si="150"/>
        <v>0</v>
      </c>
      <c r="U917" s="10"/>
    </row>
    <row r="918" spans="1:21">
      <c r="A918" s="6"/>
      <c r="B918" s="11" t="s">
        <v>96</v>
      </c>
      <c r="C918" s="7" t="s">
        <v>41</v>
      </c>
      <c r="D918" s="7"/>
      <c r="E918" s="7"/>
      <c r="F918" s="7">
        <f t="shared" si="155"/>
        <v>0</v>
      </c>
      <c r="G918" s="8"/>
      <c r="H918" s="7">
        <f t="shared" si="153"/>
        <v>0</v>
      </c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9">
        <f t="shared" si="149"/>
        <v>0</v>
      </c>
      <c r="T918" s="10">
        <f t="shared" si="150"/>
        <v>0</v>
      </c>
      <c r="U918" s="10"/>
    </row>
    <row r="919" spans="1:21">
      <c r="A919" s="6"/>
      <c r="B919" s="11" t="s">
        <v>97</v>
      </c>
      <c r="C919" s="7" t="s">
        <v>41</v>
      </c>
      <c r="D919" s="7"/>
      <c r="E919" s="7"/>
      <c r="F919" s="7">
        <f>S844</f>
        <v>0</v>
      </c>
      <c r="G919" s="8"/>
      <c r="H919" s="7">
        <f t="shared" si="153"/>
        <v>0</v>
      </c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9">
        <f t="shared" si="149"/>
        <v>0</v>
      </c>
      <c r="T919" s="10">
        <f t="shared" si="150"/>
        <v>0</v>
      </c>
      <c r="U919" s="10"/>
    </row>
    <row r="920" spans="1:21">
      <c r="A920" s="6"/>
      <c r="B920" s="11" t="s">
        <v>98</v>
      </c>
      <c r="C920" s="7" t="s">
        <v>26</v>
      </c>
      <c r="D920" s="7"/>
      <c r="E920" s="7"/>
      <c r="F920" s="7">
        <f t="shared" ref="F920:F936" si="156">S835</f>
        <v>512</v>
      </c>
      <c r="G920" s="8"/>
      <c r="H920" s="7">
        <f t="shared" si="153"/>
        <v>0</v>
      </c>
      <c r="I920" s="7"/>
      <c r="J920" s="7">
        <v>144</v>
      </c>
      <c r="K920" s="7"/>
      <c r="L920" s="7"/>
      <c r="M920" s="7"/>
      <c r="N920" s="7"/>
      <c r="O920" s="7"/>
      <c r="P920" s="7"/>
      <c r="Q920" s="7"/>
      <c r="R920" s="7"/>
      <c r="S920" s="9">
        <f t="shared" si="149"/>
        <v>368</v>
      </c>
      <c r="T920" s="10">
        <f t="shared" si="150"/>
        <v>0</v>
      </c>
      <c r="U920" s="10"/>
    </row>
    <row r="921" spans="1:21">
      <c r="A921" s="6"/>
      <c r="B921" s="11" t="s">
        <v>99</v>
      </c>
      <c r="C921" s="7" t="s">
        <v>26</v>
      </c>
      <c r="D921" s="7"/>
      <c r="E921" s="7"/>
      <c r="F921" s="7">
        <f t="shared" si="156"/>
        <v>1145</v>
      </c>
      <c r="G921" s="8"/>
      <c r="H921" s="7">
        <f t="shared" si="153"/>
        <v>0</v>
      </c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9">
        <f t="shared" si="149"/>
        <v>1145</v>
      </c>
      <c r="T921" s="10">
        <f t="shared" si="150"/>
        <v>0</v>
      </c>
      <c r="U921" s="10"/>
    </row>
    <row r="922" spans="1:21">
      <c r="A922" s="6"/>
      <c r="B922" s="11" t="s">
        <v>100</v>
      </c>
      <c r="C922" s="7" t="s">
        <v>26</v>
      </c>
      <c r="D922" s="7"/>
      <c r="E922" s="7"/>
      <c r="F922" s="7">
        <f t="shared" si="156"/>
        <v>209</v>
      </c>
      <c r="G922" s="8"/>
      <c r="H922" s="7">
        <f t="shared" si="153"/>
        <v>0</v>
      </c>
      <c r="I922" s="7"/>
      <c r="J922" s="7">
        <v>72</v>
      </c>
      <c r="K922" s="7">
        <v>10</v>
      </c>
      <c r="L922" s="7"/>
      <c r="M922" s="7"/>
      <c r="N922" s="7"/>
      <c r="O922" s="7"/>
      <c r="P922" s="7"/>
      <c r="Q922" s="7"/>
      <c r="R922" s="7"/>
      <c r="S922" s="9">
        <f t="shared" si="149"/>
        <v>127</v>
      </c>
      <c r="T922" s="10">
        <f t="shared" si="150"/>
        <v>0</v>
      </c>
      <c r="U922" s="10"/>
    </row>
    <row r="923" spans="1:21">
      <c r="A923" s="6"/>
      <c r="B923" s="11" t="s">
        <v>101</v>
      </c>
      <c r="C923" s="7" t="s">
        <v>26</v>
      </c>
      <c r="D923" s="7"/>
      <c r="E923" s="7"/>
      <c r="F923" s="7">
        <f t="shared" si="156"/>
        <v>308</v>
      </c>
      <c r="G923" s="8"/>
      <c r="H923" s="7">
        <f t="shared" si="153"/>
        <v>0</v>
      </c>
      <c r="I923" s="7"/>
      <c r="J923" s="7"/>
      <c r="K923" s="7"/>
      <c r="L923" s="7"/>
      <c r="M923" s="7">
        <v>20</v>
      </c>
      <c r="N923" s="7"/>
      <c r="O923" s="7"/>
      <c r="P923" s="7"/>
      <c r="Q923" s="7"/>
      <c r="R923" s="7"/>
      <c r="S923" s="9">
        <f t="shared" si="149"/>
        <v>328</v>
      </c>
      <c r="T923" s="10">
        <f t="shared" si="150"/>
        <v>0</v>
      </c>
      <c r="U923" s="10"/>
    </row>
    <row r="924" spans="1:21">
      <c r="A924" s="6"/>
      <c r="B924" s="11" t="s">
        <v>102</v>
      </c>
      <c r="C924" s="7" t="s">
        <v>26</v>
      </c>
      <c r="D924" s="7"/>
      <c r="E924" s="7"/>
      <c r="F924" s="7">
        <f t="shared" si="156"/>
        <v>950</v>
      </c>
      <c r="G924" s="8"/>
      <c r="H924" s="7">
        <f t="shared" si="153"/>
        <v>0</v>
      </c>
      <c r="I924" s="7"/>
      <c r="J924" s="7">
        <v>90</v>
      </c>
      <c r="K924" s="7"/>
      <c r="L924" s="7"/>
      <c r="M924" s="7"/>
      <c r="N924" s="7"/>
      <c r="O924" s="7"/>
      <c r="P924" s="7"/>
      <c r="Q924" s="7"/>
      <c r="R924" s="7"/>
      <c r="S924" s="9">
        <f t="shared" si="149"/>
        <v>860</v>
      </c>
      <c r="T924" s="10">
        <f t="shared" si="150"/>
        <v>0</v>
      </c>
      <c r="U924" s="10"/>
    </row>
    <row r="925" spans="1:21">
      <c r="A925" s="6"/>
      <c r="B925" s="11" t="s">
        <v>103</v>
      </c>
      <c r="C925" s="7" t="s">
        <v>26</v>
      </c>
      <c r="D925" s="7"/>
      <c r="E925" s="7"/>
      <c r="F925" s="7">
        <f t="shared" si="156"/>
        <v>280</v>
      </c>
      <c r="G925" s="8"/>
      <c r="H925" s="7">
        <f t="shared" si="153"/>
        <v>0</v>
      </c>
      <c r="I925" s="7"/>
      <c r="J925" s="7"/>
      <c r="K925" s="7"/>
      <c r="L925" s="7"/>
      <c r="M925" s="7">
        <v>23</v>
      </c>
      <c r="N925" s="7"/>
      <c r="O925" s="7"/>
      <c r="P925" s="7"/>
      <c r="Q925" s="7"/>
      <c r="R925" s="7"/>
      <c r="S925" s="9">
        <f t="shared" si="149"/>
        <v>303</v>
      </c>
      <c r="T925" s="10">
        <f t="shared" si="150"/>
        <v>0</v>
      </c>
      <c r="U925" s="10"/>
    </row>
    <row r="926" spans="1:21">
      <c r="A926" s="6"/>
      <c r="B926" s="11" t="s">
        <v>112</v>
      </c>
      <c r="C926" s="7" t="s">
        <v>113</v>
      </c>
      <c r="D926" s="7"/>
      <c r="E926" s="7"/>
      <c r="F926" s="7">
        <f t="shared" si="156"/>
        <v>1483</v>
      </c>
      <c r="G926" s="8"/>
      <c r="H926" s="7">
        <f t="shared" si="153"/>
        <v>0</v>
      </c>
      <c r="I926" s="7"/>
      <c r="J926" s="7">
        <v>100</v>
      </c>
      <c r="K926" s="7"/>
      <c r="L926" s="7"/>
      <c r="M926" s="7"/>
      <c r="N926" s="7"/>
      <c r="O926" s="7"/>
      <c r="P926" s="7"/>
      <c r="Q926" s="7"/>
      <c r="R926" s="7"/>
      <c r="S926" s="9">
        <f t="shared" ref="S926:S946" si="157">F926+G926-J926-K926-L926+M926+O926-P926-R926</f>
        <v>1383</v>
      </c>
      <c r="T926" s="10">
        <f t="shared" ref="T926:T946" si="158">H926+I926+N926+R926-Q926</f>
        <v>0</v>
      </c>
      <c r="U926" s="10"/>
    </row>
    <row r="927" spans="1:21">
      <c r="A927" s="6"/>
      <c r="B927" s="11"/>
      <c r="C927" s="7"/>
      <c r="D927" s="7"/>
      <c r="E927" s="7"/>
      <c r="F927" s="7">
        <f t="shared" si="156"/>
        <v>0</v>
      </c>
      <c r="G927" s="8"/>
      <c r="H927" s="7">
        <f t="shared" si="153"/>
        <v>0</v>
      </c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9">
        <f t="shared" si="157"/>
        <v>0</v>
      </c>
      <c r="T927" s="10">
        <f t="shared" si="158"/>
        <v>0</v>
      </c>
      <c r="U927" s="10"/>
    </row>
    <row r="928" spans="1:21">
      <c r="A928" s="6"/>
      <c r="B928" s="11"/>
      <c r="C928" s="7"/>
      <c r="D928" s="7"/>
      <c r="E928" s="7"/>
      <c r="F928" s="7">
        <f t="shared" si="156"/>
        <v>0</v>
      </c>
      <c r="G928" s="8"/>
      <c r="H928" s="7">
        <f t="shared" si="153"/>
        <v>0</v>
      </c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9">
        <f t="shared" si="157"/>
        <v>0</v>
      </c>
      <c r="T928" s="10">
        <f t="shared" si="158"/>
        <v>0</v>
      </c>
      <c r="U928" s="10"/>
    </row>
    <row r="929" spans="1:25">
      <c r="A929" s="6"/>
      <c r="B929" s="11"/>
      <c r="C929" s="7"/>
      <c r="D929" s="7"/>
      <c r="E929" s="7"/>
      <c r="F929" s="7">
        <f t="shared" si="156"/>
        <v>0</v>
      </c>
      <c r="G929" s="8"/>
      <c r="H929" s="7">
        <f t="shared" si="153"/>
        <v>0</v>
      </c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9">
        <f t="shared" si="157"/>
        <v>0</v>
      </c>
      <c r="T929" s="10">
        <f t="shared" si="158"/>
        <v>0</v>
      </c>
      <c r="U929" s="10"/>
    </row>
    <row r="930" spans="1:25">
      <c r="A930" s="6"/>
      <c r="B930" s="11"/>
      <c r="C930" s="7"/>
      <c r="D930" s="7"/>
      <c r="E930" s="7"/>
      <c r="F930" s="7">
        <f t="shared" si="156"/>
        <v>0</v>
      </c>
      <c r="G930" s="8"/>
      <c r="H930" s="7">
        <f t="shared" si="153"/>
        <v>0</v>
      </c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9">
        <f t="shared" si="157"/>
        <v>0</v>
      </c>
      <c r="T930" s="10">
        <f t="shared" si="158"/>
        <v>0</v>
      </c>
      <c r="U930" s="10"/>
    </row>
    <row r="931" spans="1:25">
      <c r="A931" s="6"/>
      <c r="B931" s="11"/>
      <c r="C931" s="7"/>
      <c r="D931" s="7"/>
      <c r="E931" s="7"/>
      <c r="F931" s="7">
        <f t="shared" si="156"/>
        <v>0</v>
      </c>
      <c r="G931" s="8"/>
      <c r="H931" s="7">
        <f t="shared" si="153"/>
        <v>0</v>
      </c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9">
        <f t="shared" si="157"/>
        <v>0</v>
      </c>
      <c r="T931" s="10">
        <f t="shared" si="158"/>
        <v>0</v>
      </c>
      <c r="U931" s="10"/>
    </row>
    <row r="932" spans="1:25">
      <c r="A932" s="6"/>
      <c r="B932" s="11"/>
      <c r="C932" s="7"/>
      <c r="D932" s="7"/>
      <c r="E932" s="7"/>
      <c r="F932" s="7">
        <f t="shared" si="156"/>
        <v>0</v>
      </c>
      <c r="G932" s="8"/>
      <c r="H932" s="7">
        <f t="shared" si="153"/>
        <v>0</v>
      </c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9">
        <f t="shared" si="157"/>
        <v>0</v>
      </c>
      <c r="T932" s="10">
        <f t="shared" si="158"/>
        <v>0</v>
      </c>
      <c r="U932" s="10"/>
    </row>
    <row r="933" spans="1:25">
      <c r="A933" s="6"/>
      <c r="B933" s="11"/>
      <c r="C933" s="7"/>
      <c r="D933" s="7"/>
      <c r="E933" s="7"/>
      <c r="F933" s="7">
        <f t="shared" si="156"/>
        <v>0</v>
      </c>
      <c r="G933" s="8"/>
      <c r="H933" s="7">
        <f t="shared" si="153"/>
        <v>0</v>
      </c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9">
        <f t="shared" si="157"/>
        <v>0</v>
      </c>
      <c r="T933" s="10">
        <f t="shared" si="158"/>
        <v>0</v>
      </c>
      <c r="U933" s="10"/>
    </row>
    <row r="934" spans="1:25">
      <c r="A934" s="6"/>
      <c r="B934" s="11"/>
      <c r="C934" s="7"/>
      <c r="D934" s="7"/>
      <c r="E934" s="7"/>
      <c r="F934" s="7">
        <f t="shared" si="156"/>
        <v>0</v>
      </c>
      <c r="G934" s="8"/>
      <c r="H934" s="7">
        <f t="shared" si="153"/>
        <v>0</v>
      </c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9">
        <f t="shared" si="157"/>
        <v>0</v>
      </c>
      <c r="T934" s="10">
        <f t="shared" si="158"/>
        <v>0</v>
      </c>
      <c r="U934" s="10"/>
    </row>
    <row r="935" spans="1:25">
      <c r="A935" s="6"/>
      <c r="B935" s="11"/>
      <c r="C935" s="7"/>
      <c r="D935" s="7"/>
      <c r="E935" s="7"/>
      <c r="F935" s="7">
        <f t="shared" si="156"/>
        <v>0</v>
      </c>
      <c r="G935" s="8"/>
      <c r="H935" s="7">
        <f t="shared" si="153"/>
        <v>0</v>
      </c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9">
        <f t="shared" si="157"/>
        <v>0</v>
      </c>
      <c r="T935" s="10">
        <f t="shared" si="158"/>
        <v>0</v>
      </c>
      <c r="U935" s="10"/>
    </row>
    <row r="936" spans="1:25">
      <c r="A936" s="6"/>
      <c r="B936" s="11"/>
      <c r="C936" s="7"/>
      <c r="D936" s="7"/>
      <c r="E936" s="7"/>
      <c r="F936" s="7">
        <f t="shared" si="156"/>
        <v>0</v>
      </c>
      <c r="G936" s="8"/>
      <c r="H936" s="7">
        <f t="shared" si="153"/>
        <v>0</v>
      </c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9">
        <f t="shared" si="157"/>
        <v>0</v>
      </c>
      <c r="T936" s="10">
        <f t="shared" si="158"/>
        <v>0</v>
      </c>
      <c r="U936" s="10"/>
      <c r="V936">
        <f>X936*0.1</f>
        <v>0</v>
      </c>
      <c r="W936">
        <f>E936*S936*1.5</f>
        <v>0</v>
      </c>
      <c r="X936">
        <f>J936+K936</f>
        <v>0</v>
      </c>
      <c r="Y936">
        <f>X936*0.13</f>
        <v>0</v>
      </c>
    </row>
    <row r="937" spans="1:25">
      <c r="A937" s="6">
        <v>46154</v>
      </c>
      <c r="B937" t="s">
        <v>25</v>
      </c>
      <c r="C937" s="7" t="s">
        <v>26</v>
      </c>
      <c r="D937" s="7"/>
      <c r="E937" s="7"/>
      <c r="F937" s="7">
        <f t="shared" ref="F936:F948" si="159">S852</f>
        <v>1030</v>
      </c>
      <c r="G937" s="8"/>
      <c r="H937" s="7">
        <f t="shared" si="153"/>
        <v>0</v>
      </c>
      <c r="I937" s="7"/>
      <c r="J937" s="7">
        <v>90</v>
      </c>
      <c r="K937" s="7"/>
      <c r="L937" s="7"/>
      <c r="M937" s="7"/>
      <c r="N937" s="7"/>
      <c r="O937" s="7"/>
      <c r="P937" s="7"/>
      <c r="Q937" s="7"/>
      <c r="R937" s="7"/>
      <c r="S937" s="9">
        <f t="shared" si="157"/>
        <v>940</v>
      </c>
      <c r="T937" s="10">
        <f t="shared" si="158"/>
        <v>0</v>
      </c>
      <c r="U937" s="10"/>
      <c r="V937">
        <f t="shared" ref="V937:V943" si="160">X937*0.1</f>
        <v>9</v>
      </c>
      <c r="W937">
        <f t="shared" ref="W937:W943" si="161">E937*S937*1.5</f>
        <v>0</v>
      </c>
      <c r="X937">
        <f t="shared" ref="X937:X943" si="162">J937+K937</f>
        <v>90</v>
      </c>
      <c r="Y937">
        <f t="shared" ref="Y937:Y943" si="163">X937*0.13</f>
        <v>11.7</v>
      </c>
    </row>
    <row r="938" spans="1:25">
      <c r="A938" s="6"/>
      <c r="B938" t="s">
        <v>27</v>
      </c>
      <c r="C938" s="7" t="s">
        <v>26</v>
      </c>
      <c r="D938" s="7"/>
      <c r="E938" s="7"/>
      <c r="F938" s="7">
        <f t="shared" si="159"/>
        <v>515</v>
      </c>
      <c r="G938" s="8"/>
      <c r="H938" s="7">
        <f t="shared" si="153"/>
        <v>0</v>
      </c>
      <c r="I938" s="7"/>
      <c r="J938" s="7"/>
      <c r="K938" s="7"/>
      <c r="L938" s="7"/>
      <c r="M938" s="7">
        <v>24</v>
      </c>
      <c r="N938" s="7"/>
      <c r="O938" s="7"/>
      <c r="P938" s="7"/>
      <c r="Q938" s="7"/>
      <c r="R938" s="7"/>
      <c r="S938" s="9">
        <f t="shared" si="157"/>
        <v>539</v>
      </c>
      <c r="T938" s="10">
        <f t="shared" si="158"/>
        <v>0</v>
      </c>
      <c r="U938" s="10"/>
      <c r="V938">
        <f t="shared" si="160"/>
        <v>0</v>
      </c>
      <c r="W938">
        <f t="shared" si="161"/>
        <v>0</v>
      </c>
      <c r="X938">
        <f t="shared" si="162"/>
        <v>0</v>
      </c>
      <c r="Y938">
        <f t="shared" si="163"/>
        <v>0</v>
      </c>
    </row>
    <row r="939" spans="1:25">
      <c r="A939" s="6"/>
      <c r="B939" s="6" t="s">
        <v>28</v>
      </c>
      <c r="C939" s="7" t="s">
        <v>26</v>
      </c>
      <c r="D939" s="7"/>
      <c r="E939" s="7"/>
      <c r="F939" s="7">
        <f t="shared" si="159"/>
        <v>1276</v>
      </c>
      <c r="G939" s="8"/>
      <c r="H939" s="7">
        <f t="shared" si="153"/>
        <v>0</v>
      </c>
      <c r="I939" s="7"/>
      <c r="J939" s="7">
        <v>120</v>
      </c>
      <c r="K939" s="7"/>
      <c r="L939" s="7"/>
      <c r="M939" s="7"/>
      <c r="N939" s="7"/>
      <c r="O939" s="7"/>
      <c r="P939" s="7"/>
      <c r="Q939" s="7"/>
      <c r="R939" s="7"/>
      <c r="S939" s="9">
        <f t="shared" si="157"/>
        <v>1156</v>
      </c>
      <c r="T939" s="10">
        <f t="shared" si="158"/>
        <v>0</v>
      </c>
      <c r="U939" s="10"/>
      <c r="V939">
        <f t="shared" si="160"/>
        <v>12</v>
      </c>
      <c r="W939">
        <f t="shared" si="161"/>
        <v>0</v>
      </c>
      <c r="X939">
        <f t="shared" si="162"/>
        <v>120</v>
      </c>
      <c r="Y939">
        <f t="shared" si="163"/>
        <v>15.6</v>
      </c>
    </row>
    <row r="940" spans="1:25">
      <c r="A940" s="6"/>
      <c r="B940" s="6" t="s">
        <v>29</v>
      </c>
      <c r="C940" s="7" t="s">
        <v>26</v>
      </c>
      <c r="D940" s="7"/>
      <c r="E940" s="7"/>
      <c r="F940" s="7">
        <f t="shared" si="159"/>
        <v>187</v>
      </c>
      <c r="G940" s="8"/>
      <c r="H940" s="7">
        <f t="shared" si="153"/>
        <v>0</v>
      </c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9">
        <f t="shared" si="157"/>
        <v>187</v>
      </c>
      <c r="T940" s="10">
        <f t="shared" si="158"/>
        <v>0</v>
      </c>
      <c r="U940" s="10"/>
      <c r="V940">
        <f t="shared" si="160"/>
        <v>0</v>
      </c>
      <c r="W940">
        <f t="shared" si="161"/>
        <v>0</v>
      </c>
      <c r="X940">
        <f t="shared" si="162"/>
        <v>0</v>
      </c>
      <c r="Y940">
        <f t="shared" si="163"/>
        <v>0</v>
      </c>
    </row>
    <row r="941" spans="1:25">
      <c r="A941" s="6"/>
      <c r="B941" s="6" t="s">
        <v>30</v>
      </c>
      <c r="C941" s="7" t="s">
        <v>26</v>
      </c>
      <c r="D941" s="7"/>
      <c r="E941" s="7"/>
      <c r="F941" s="7">
        <f t="shared" si="159"/>
        <v>1686</v>
      </c>
      <c r="G941" s="8"/>
      <c r="H941" s="7">
        <f t="shared" si="153"/>
        <v>0</v>
      </c>
      <c r="I941" s="7"/>
      <c r="J941" s="7">
        <v>120</v>
      </c>
      <c r="K941" s="7"/>
      <c r="L941" s="7"/>
      <c r="M941" s="7"/>
      <c r="N941" s="7"/>
      <c r="O941" s="7"/>
      <c r="P941" s="7"/>
      <c r="Q941" s="7"/>
      <c r="R941" s="7"/>
      <c r="S941" s="9">
        <f t="shared" si="157"/>
        <v>1566</v>
      </c>
      <c r="T941" s="10">
        <f t="shared" si="158"/>
        <v>0</v>
      </c>
      <c r="U941" s="10"/>
      <c r="V941">
        <f t="shared" si="160"/>
        <v>12</v>
      </c>
      <c r="W941">
        <f t="shared" si="161"/>
        <v>0</v>
      </c>
      <c r="X941">
        <f t="shared" si="162"/>
        <v>120</v>
      </c>
      <c r="Y941">
        <f t="shared" si="163"/>
        <v>15.6</v>
      </c>
    </row>
    <row r="942" spans="1:25">
      <c r="A942" s="6"/>
      <c r="B942" s="6" t="s">
        <v>31</v>
      </c>
      <c r="C942" s="7" t="s">
        <v>26</v>
      </c>
      <c r="D942" s="7"/>
      <c r="E942" s="7"/>
      <c r="F942" s="7">
        <f t="shared" si="159"/>
        <v>1156</v>
      </c>
      <c r="G942" s="8"/>
      <c r="H942" s="7">
        <f t="shared" si="153"/>
        <v>0</v>
      </c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9">
        <f t="shared" si="157"/>
        <v>1156</v>
      </c>
      <c r="T942" s="10">
        <f t="shared" si="158"/>
        <v>0</v>
      </c>
      <c r="U942" s="10"/>
      <c r="V942">
        <f t="shared" si="160"/>
        <v>0</v>
      </c>
      <c r="W942">
        <f t="shared" si="161"/>
        <v>0</v>
      </c>
      <c r="X942">
        <f t="shared" si="162"/>
        <v>0</v>
      </c>
      <c r="Y942">
        <f t="shared" si="163"/>
        <v>0</v>
      </c>
    </row>
    <row r="943" spans="1:25">
      <c r="A943" s="6"/>
      <c r="B943" s="6" t="s">
        <v>32</v>
      </c>
      <c r="C943" s="7" t="s">
        <v>26</v>
      </c>
      <c r="D943" s="7"/>
      <c r="E943" s="7"/>
      <c r="F943" s="7">
        <f t="shared" si="159"/>
        <v>420</v>
      </c>
      <c r="G943" s="8"/>
      <c r="H943" s="7">
        <f t="shared" si="153"/>
        <v>0</v>
      </c>
      <c r="I943" s="7"/>
      <c r="J943" s="7">
        <v>210</v>
      </c>
      <c r="K943" s="7"/>
      <c r="L943" s="7"/>
      <c r="M943" s="7">
        <v>1</v>
      </c>
      <c r="N943" s="7"/>
      <c r="O943" s="7"/>
      <c r="P943" s="7"/>
      <c r="Q943" s="7"/>
      <c r="R943" s="7"/>
      <c r="S943" s="9">
        <f t="shared" si="157"/>
        <v>211</v>
      </c>
      <c r="T943" s="10">
        <f t="shared" si="158"/>
        <v>0</v>
      </c>
      <c r="U943" s="10"/>
      <c r="V943">
        <f t="shared" si="160"/>
        <v>21</v>
      </c>
      <c r="W943">
        <f t="shared" si="161"/>
        <v>0</v>
      </c>
      <c r="X943">
        <f t="shared" si="162"/>
        <v>210</v>
      </c>
      <c r="Y943">
        <f t="shared" si="163"/>
        <v>27.3</v>
      </c>
    </row>
    <row r="944" spans="1:25">
      <c r="A944" s="6"/>
      <c r="B944" s="6" t="s">
        <v>33</v>
      </c>
      <c r="C944" s="7" t="s">
        <v>26</v>
      </c>
      <c r="D944" s="7"/>
      <c r="E944" s="7"/>
      <c r="F944" s="7">
        <f t="shared" si="159"/>
        <v>1335</v>
      </c>
      <c r="G944" s="8"/>
      <c r="H944" s="7">
        <f>T859</f>
        <v>0</v>
      </c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9">
        <f t="shared" si="157"/>
        <v>1335</v>
      </c>
      <c r="T944" s="10">
        <f t="shared" si="158"/>
        <v>0</v>
      </c>
      <c r="U944" s="10"/>
    </row>
    <row r="945" spans="1:21">
      <c r="A945" s="6"/>
      <c r="B945" s="11" t="s">
        <v>34</v>
      </c>
      <c r="C945" s="7" t="s">
        <v>26</v>
      </c>
      <c r="D945" s="7"/>
      <c r="E945" s="7"/>
      <c r="F945" s="7">
        <f t="shared" si="159"/>
        <v>17</v>
      </c>
      <c r="G945" s="8"/>
      <c r="H945" s="7">
        <f>T860</f>
        <v>0</v>
      </c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9">
        <f t="shared" si="157"/>
        <v>17</v>
      </c>
      <c r="T945" s="10">
        <f t="shared" si="158"/>
        <v>0</v>
      </c>
      <c r="U945" s="10"/>
    </row>
    <row r="946" spans="1:21">
      <c r="A946" s="6"/>
      <c r="B946" s="11" t="s">
        <v>35</v>
      </c>
      <c r="C946" s="7" t="s">
        <v>26</v>
      </c>
      <c r="D946" s="7"/>
      <c r="E946" s="7"/>
      <c r="F946" s="7">
        <f t="shared" si="159"/>
        <v>120</v>
      </c>
      <c r="G946" s="8"/>
      <c r="H946" s="7">
        <f>T861</f>
        <v>0</v>
      </c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9">
        <f t="shared" si="157"/>
        <v>120</v>
      </c>
      <c r="T946" s="10">
        <f t="shared" si="158"/>
        <v>0</v>
      </c>
      <c r="U946" s="10"/>
    </row>
    <row r="947" spans="1:21">
      <c r="A947" s="6"/>
      <c r="B947" s="11" t="s">
        <v>36</v>
      </c>
      <c r="C947" s="7" t="s">
        <v>26</v>
      </c>
      <c r="D947" s="7"/>
      <c r="E947" s="7"/>
      <c r="F947" s="7">
        <f t="shared" si="159"/>
        <v>0</v>
      </c>
      <c r="G947" s="8"/>
      <c r="H947" s="7">
        <f t="shared" ref="H947:H1010" si="164">T862</f>
        <v>0</v>
      </c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9">
        <f t="shared" ref="S947:S978" si="165">F947+G947-J947-K947-L947+M947+O947-P947-R947</f>
        <v>0</v>
      </c>
      <c r="T947" s="10">
        <f t="shared" ref="T947:T978" si="166">H947+I947+N947+R947-Q947</f>
        <v>0</v>
      </c>
      <c r="U947" s="10"/>
    </row>
    <row r="948" spans="1:21">
      <c r="A948" s="6"/>
      <c r="B948" s="11" t="s">
        <v>37</v>
      </c>
      <c r="C948" s="7" t="s">
        <v>26</v>
      </c>
      <c r="D948" s="7"/>
      <c r="E948" s="7"/>
      <c r="F948" s="7">
        <f t="shared" si="159"/>
        <v>24</v>
      </c>
      <c r="G948" s="8"/>
      <c r="H948" s="7">
        <f t="shared" si="164"/>
        <v>0</v>
      </c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9">
        <f t="shared" si="165"/>
        <v>24</v>
      </c>
      <c r="T948" s="10">
        <f t="shared" si="166"/>
        <v>0</v>
      </c>
      <c r="U948" s="10"/>
    </row>
    <row r="949" spans="1:21">
      <c r="A949" s="6"/>
      <c r="B949" s="11" t="s">
        <v>38</v>
      </c>
      <c r="C949" s="7" t="s">
        <v>26</v>
      </c>
      <c r="D949" s="7"/>
      <c r="E949" s="7"/>
      <c r="F949" s="7">
        <f t="shared" ref="F949:F960" si="167">S864</f>
        <v>0</v>
      </c>
      <c r="G949" s="8"/>
      <c r="H949" s="7">
        <f t="shared" si="164"/>
        <v>0</v>
      </c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9">
        <f t="shared" si="165"/>
        <v>0</v>
      </c>
      <c r="T949" s="10">
        <f t="shared" si="166"/>
        <v>0</v>
      </c>
      <c r="U949" s="10"/>
    </row>
    <row r="950" spans="1:21">
      <c r="A950" s="6"/>
      <c r="B950" s="11" t="s">
        <v>39</v>
      </c>
      <c r="C950" s="7" t="s">
        <v>26</v>
      </c>
      <c r="D950" s="7"/>
      <c r="E950" s="7"/>
      <c r="F950" s="7">
        <f t="shared" si="167"/>
        <v>1700</v>
      </c>
      <c r="G950" s="8"/>
      <c r="H950" s="7">
        <f t="shared" si="164"/>
        <v>0</v>
      </c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9">
        <f t="shared" si="165"/>
        <v>1700</v>
      </c>
      <c r="T950" s="10">
        <f t="shared" si="166"/>
        <v>0</v>
      </c>
      <c r="U950" s="10"/>
    </row>
    <row r="951" spans="1:21">
      <c r="A951" s="6"/>
      <c r="B951" s="11" t="s">
        <v>40</v>
      </c>
      <c r="C951" s="7" t="s">
        <v>41</v>
      </c>
      <c r="D951" s="7"/>
      <c r="E951" s="7"/>
      <c r="F951" s="7">
        <f t="shared" si="167"/>
        <v>0</v>
      </c>
      <c r="G951" s="8"/>
      <c r="H951" s="7">
        <f t="shared" si="164"/>
        <v>0</v>
      </c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9">
        <f t="shared" si="165"/>
        <v>0</v>
      </c>
      <c r="T951" s="10">
        <f t="shared" si="166"/>
        <v>0</v>
      </c>
      <c r="U951" s="10"/>
    </row>
    <row r="952" spans="1:21">
      <c r="A952" s="6"/>
      <c r="B952" s="11" t="s">
        <v>42</v>
      </c>
      <c r="C952" s="7" t="s">
        <v>41</v>
      </c>
      <c r="D952" s="7"/>
      <c r="E952" s="7"/>
      <c r="F952" s="7">
        <f t="shared" si="167"/>
        <v>53</v>
      </c>
      <c r="G952" s="8"/>
      <c r="H952" s="7">
        <f t="shared" si="164"/>
        <v>0</v>
      </c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9">
        <f t="shared" si="165"/>
        <v>53</v>
      </c>
      <c r="T952" s="10">
        <f t="shared" si="166"/>
        <v>0</v>
      </c>
      <c r="U952" s="10"/>
    </row>
    <row r="953" spans="1:21">
      <c r="A953" s="6"/>
      <c r="B953" s="11" t="s">
        <v>43</v>
      </c>
      <c r="C953" s="7" t="s">
        <v>41</v>
      </c>
      <c r="D953" s="7"/>
      <c r="E953" s="7"/>
      <c r="F953" s="7">
        <f t="shared" si="167"/>
        <v>0</v>
      </c>
      <c r="G953" s="8"/>
      <c r="H953" s="7">
        <f t="shared" si="164"/>
        <v>0</v>
      </c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9">
        <f t="shared" si="165"/>
        <v>0</v>
      </c>
      <c r="T953" s="10">
        <f t="shared" si="166"/>
        <v>0</v>
      </c>
      <c r="U953" s="10"/>
    </row>
    <row r="954" spans="1:21">
      <c r="A954" s="6"/>
      <c r="B954" s="11" t="s">
        <v>44</v>
      </c>
      <c r="C954" s="7" t="s">
        <v>41</v>
      </c>
      <c r="D954" s="7"/>
      <c r="E954" s="7"/>
      <c r="F954" s="7">
        <f t="shared" si="167"/>
        <v>75</v>
      </c>
      <c r="G954" s="8"/>
      <c r="H954" s="7">
        <f t="shared" si="164"/>
        <v>0</v>
      </c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9">
        <f t="shared" si="165"/>
        <v>75</v>
      </c>
      <c r="T954" s="10">
        <f t="shared" si="166"/>
        <v>0</v>
      </c>
      <c r="U954" s="10"/>
    </row>
    <row r="955" spans="1:21">
      <c r="A955" s="6"/>
      <c r="B955" s="11" t="s">
        <v>45</v>
      </c>
      <c r="C955" s="7" t="s">
        <v>41</v>
      </c>
      <c r="D955" s="7"/>
      <c r="E955" s="7"/>
      <c r="F955" s="7">
        <f t="shared" si="167"/>
        <v>0</v>
      </c>
      <c r="G955" s="8"/>
      <c r="H955" s="7">
        <f t="shared" si="164"/>
        <v>0</v>
      </c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9">
        <f t="shared" si="165"/>
        <v>0</v>
      </c>
      <c r="T955" s="10">
        <f t="shared" si="166"/>
        <v>0</v>
      </c>
      <c r="U955" s="10"/>
    </row>
    <row r="956" spans="1:21">
      <c r="A956" s="6"/>
      <c r="B956" s="11" t="s">
        <v>46</v>
      </c>
      <c r="C956" s="7" t="s">
        <v>41</v>
      </c>
      <c r="D956" s="7"/>
      <c r="E956" s="7"/>
      <c r="F956" s="7">
        <f t="shared" si="167"/>
        <v>17</v>
      </c>
      <c r="G956" s="8"/>
      <c r="H956" s="7">
        <f t="shared" si="164"/>
        <v>0</v>
      </c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9">
        <f t="shared" si="165"/>
        <v>17</v>
      </c>
      <c r="T956" s="10">
        <f t="shared" si="166"/>
        <v>0</v>
      </c>
      <c r="U956" s="10"/>
    </row>
    <row r="957" spans="1:21">
      <c r="A957" s="6"/>
      <c r="B957" s="11" t="s">
        <v>47</v>
      </c>
      <c r="C957" s="7" t="s">
        <v>26</v>
      </c>
      <c r="D957" s="7"/>
      <c r="E957" s="7"/>
      <c r="F957" s="7">
        <f t="shared" ref="F957:F980" si="168">S872</f>
        <v>0</v>
      </c>
      <c r="G957" s="8"/>
      <c r="H957" s="7">
        <f t="shared" si="164"/>
        <v>0</v>
      </c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9">
        <f t="shared" si="165"/>
        <v>0</v>
      </c>
      <c r="T957" s="10">
        <f t="shared" si="166"/>
        <v>0</v>
      </c>
      <c r="U957" s="10"/>
    </row>
    <row r="958" spans="1:21">
      <c r="A958" s="6"/>
      <c r="B958" s="11" t="s">
        <v>48</v>
      </c>
      <c r="C958" s="7" t="s">
        <v>26</v>
      </c>
      <c r="D958" s="7"/>
      <c r="E958" s="7"/>
      <c r="F958" s="7">
        <f t="shared" si="168"/>
        <v>34477</v>
      </c>
      <c r="G958" s="8"/>
      <c r="H958" s="7">
        <f t="shared" si="164"/>
        <v>0</v>
      </c>
      <c r="I958" s="7"/>
      <c r="J958" s="7">
        <v>1650</v>
      </c>
      <c r="K958" s="7">
        <v>420</v>
      </c>
      <c r="L958" s="7"/>
      <c r="M958" s="7">
        <v>12</v>
      </c>
      <c r="N958" s="7"/>
      <c r="O958" s="7"/>
      <c r="P958" s="7"/>
      <c r="Q958" s="7"/>
      <c r="R958" s="7"/>
      <c r="S958" s="9">
        <f t="shared" si="165"/>
        <v>32419</v>
      </c>
      <c r="T958" s="10">
        <f t="shared" si="166"/>
        <v>0</v>
      </c>
      <c r="U958" s="10" t="s">
        <v>116</v>
      </c>
    </row>
    <row r="959" spans="1:21">
      <c r="A959" s="6"/>
      <c r="B959" s="11" t="s">
        <v>50</v>
      </c>
      <c r="C959" s="7" t="s">
        <v>26</v>
      </c>
      <c r="D959" s="7"/>
      <c r="E959" s="7"/>
      <c r="F959" s="7">
        <f t="shared" si="168"/>
        <v>0</v>
      </c>
      <c r="G959" s="8"/>
      <c r="H959" s="7">
        <f t="shared" si="164"/>
        <v>0</v>
      </c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9">
        <f t="shared" si="165"/>
        <v>0</v>
      </c>
      <c r="T959" s="10">
        <f t="shared" si="166"/>
        <v>0</v>
      </c>
      <c r="U959" s="10"/>
    </row>
    <row r="960" spans="1:21">
      <c r="A960" s="6"/>
      <c r="B960" s="11" t="s">
        <v>51</v>
      </c>
      <c r="C960" s="7" t="s">
        <v>26</v>
      </c>
      <c r="D960" s="7"/>
      <c r="E960" s="7"/>
      <c r="F960" s="7">
        <f t="shared" si="168"/>
        <v>0</v>
      </c>
      <c r="G960" s="8"/>
      <c r="H960" s="7">
        <f t="shared" si="164"/>
        <v>0</v>
      </c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9">
        <f t="shared" si="165"/>
        <v>0</v>
      </c>
      <c r="T960" s="10">
        <f t="shared" si="166"/>
        <v>0</v>
      </c>
      <c r="U960" s="10"/>
    </row>
    <row r="961" spans="1:21">
      <c r="A961" s="6"/>
      <c r="B961" s="11" t="s">
        <v>52</v>
      </c>
      <c r="C961" s="7" t="s">
        <v>26</v>
      </c>
      <c r="D961" s="7"/>
      <c r="E961" s="7"/>
      <c r="F961" s="7">
        <f t="shared" si="168"/>
        <v>10496</v>
      </c>
      <c r="G961" s="8"/>
      <c r="H961" s="7">
        <f t="shared" si="164"/>
        <v>0</v>
      </c>
      <c r="I961" s="7"/>
      <c r="J961" s="7">
        <v>1776</v>
      </c>
      <c r="K961" s="7"/>
      <c r="L961" s="7"/>
      <c r="M961" s="7"/>
      <c r="N961" s="7"/>
      <c r="O961" s="7"/>
      <c r="P961" s="7"/>
      <c r="Q961" s="7"/>
      <c r="R961" s="7"/>
      <c r="S961" s="9">
        <f t="shared" si="165"/>
        <v>8720</v>
      </c>
      <c r="T961" s="10">
        <f t="shared" si="166"/>
        <v>0</v>
      </c>
      <c r="U961" s="10"/>
    </row>
    <row r="962" spans="1:21">
      <c r="A962" s="6"/>
      <c r="B962" s="11" t="s">
        <v>53</v>
      </c>
      <c r="C962" s="7" t="s">
        <v>54</v>
      </c>
      <c r="D962" s="7"/>
      <c r="E962" s="7"/>
      <c r="F962" s="7">
        <f t="shared" si="168"/>
        <v>0</v>
      </c>
      <c r="G962" s="8"/>
      <c r="H962" s="7">
        <f t="shared" si="164"/>
        <v>0</v>
      </c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9">
        <f t="shared" si="165"/>
        <v>0</v>
      </c>
      <c r="T962" s="10">
        <f t="shared" si="166"/>
        <v>0</v>
      </c>
      <c r="U962" s="10"/>
    </row>
    <row r="963" spans="1:21">
      <c r="A963" s="6"/>
      <c r="B963" s="11" t="s">
        <v>55</v>
      </c>
      <c r="C963" s="7" t="s">
        <v>54</v>
      </c>
      <c r="D963" s="7"/>
      <c r="E963" s="7"/>
      <c r="F963" s="7">
        <f t="shared" si="168"/>
        <v>15</v>
      </c>
      <c r="G963" s="8"/>
      <c r="H963" s="7">
        <f t="shared" si="164"/>
        <v>0</v>
      </c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9">
        <f t="shared" si="165"/>
        <v>15</v>
      </c>
      <c r="T963" s="10">
        <f t="shared" si="166"/>
        <v>0</v>
      </c>
      <c r="U963" s="10"/>
    </row>
    <row r="964" spans="1:21">
      <c r="A964" s="6"/>
      <c r="B964" s="11" t="s">
        <v>56</v>
      </c>
      <c r="C964" s="7" t="s">
        <v>54</v>
      </c>
      <c r="D964" s="7"/>
      <c r="E964" s="7"/>
      <c r="F964" s="7">
        <f t="shared" si="168"/>
        <v>3316</v>
      </c>
      <c r="G964" s="8"/>
      <c r="H964" s="7">
        <f t="shared" si="164"/>
        <v>0</v>
      </c>
      <c r="I964" s="7"/>
      <c r="J964" s="7">
        <v>180</v>
      </c>
      <c r="K964" s="7">
        <v>90</v>
      </c>
      <c r="L964" s="7"/>
      <c r="M964" s="7"/>
      <c r="N964" s="7"/>
      <c r="O964" s="7"/>
      <c r="P964" s="7"/>
      <c r="Q964" s="7"/>
      <c r="R964" s="7"/>
      <c r="S964" s="9">
        <f t="shared" si="165"/>
        <v>3046</v>
      </c>
      <c r="T964" s="10">
        <f t="shared" si="166"/>
        <v>0</v>
      </c>
      <c r="U964" s="10"/>
    </row>
    <row r="965" spans="1:21">
      <c r="A965" s="6"/>
      <c r="B965" s="11" t="s">
        <v>57</v>
      </c>
      <c r="C965" s="7" t="s">
        <v>54</v>
      </c>
      <c r="D965" s="7"/>
      <c r="E965" s="7"/>
      <c r="F965" s="7">
        <f t="shared" si="168"/>
        <v>755</v>
      </c>
      <c r="G965" s="8"/>
      <c r="H965" s="7">
        <f t="shared" si="164"/>
        <v>0</v>
      </c>
      <c r="I965" s="7"/>
      <c r="J965" s="7">
        <v>336</v>
      </c>
      <c r="K965" s="7"/>
      <c r="L965" s="7"/>
      <c r="M965" s="7">
        <v>12</v>
      </c>
      <c r="N965" s="7"/>
      <c r="O965" s="7"/>
      <c r="P965" s="7"/>
      <c r="Q965" s="7"/>
      <c r="R965" s="7"/>
      <c r="S965" s="9">
        <f t="shared" si="165"/>
        <v>431</v>
      </c>
      <c r="T965" s="10">
        <f t="shared" si="166"/>
        <v>0</v>
      </c>
      <c r="U965" s="10"/>
    </row>
    <row r="966" spans="1:21">
      <c r="A966" s="6"/>
      <c r="B966" s="11" t="s">
        <v>58</v>
      </c>
      <c r="C966" s="7" t="s">
        <v>54</v>
      </c>
      <c r="D966" s="7"/>
      <c r="E966" s="7"/>
      <c r="F966" s="7">
        <f t="shared" si="168"/>
        <v>0</v>
      </c>
      <c r="G966" s="8"/>
      <c r="H966" s="7">
        <f t="shared" si="164"/>
        <v>0</v>
      </c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9">
        <f t="shared" si="165"/>
        <v>0</v>
      </c>
      <c r="T966" s="10">
        <f t="shared" si="166"/>
        <v>0</v>
      </c>
      <c r="U966" s="10"/>
    </row>
    <row r="967" spans="1:21">
      <c r="A967" s="6"/>
      <c r="B967" s="11" t="s">
        <v>59</v>
      </c>
      <c r="C967" s="7" t="s">
        <v>54</v>
      </c>
      <c r="D967" s="7"/>
      <c r="E967" s="7"/>
      <c r="F967" s="7">
        <f t="shared" si="168"/>
        <v>19</v>
      </c>
      <c r="G967" s="8"/>
      <c r="H967" s="7">
        <f t="shared" si="164"/>
        <v>0</v>
      </c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9">
        <f t="shared" si="165"/>
        <v>19</v>
      </c>
      <c r="T967" s="10">
        <f t="shared" si="166"/>
        <v>0</v>
      </c>
      <c r="U967" s="10"/>
    </row>
    <row r="968" spans="1:21">
      <c r="A968" s="6"/>
      <c r="B968" s="11" t="s">
        <v>60</v>
      </c>
      <c r="C968" s="7" t="s">
        <v>61</v>
      </c>
      <c r="D968" s="7"/>
      <c r="E968" s="7"/>
      <c r="F968" s="7">
        <f t="shared" si="168"/>
        <v>0</v>
      </c>
      <c r="G968" s="8"/>
      <c r="H968" s="7">
        <f t="shared" si="164"/>
        <v>0</v>
      </c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9">
        <f t="shared" si="165"/>
        <v>0</v>
      </c>
      <c r="T968" s="10">
        <f t="shared" si="166"/>
        <v>0</v>
      </c>
      <c r="U968" s="10"/>
    </row>
    <row r="969" spans="1:21">
      <c r="A969" s="6"/>
      <c r="B969" s="11" t="s">
        <v>62</v>
      </c>
      <c r="C969" s="7" t="s">
        <v>61</v>
      </c>
      <c r="D969" s="7"/>
      <c r="E969" s="7"/>
      <c r="F969" s="7">
        <f t="shared" si="168"/>
        <v>11</v>
      </c>
      <c r="G969" s="8"/>
      <c r="H969" s="7">
        <f t="shared" si="164"/>
        <v>0</v>
      </c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9">
        <f t="shared" si="165"/>
        <v>11</v>
      </c>
      <c r="T969" s="10">
        <f t="shared" si="166"/>
        <v>0</v>
      </c>
      <c r="U969" s="10"/>
    </row>
    <row r="970" spans="1:21">
      <c r="A970" s="6"/>
      <c r="B970" s="10" t="s">
        <v>63</v>
      </c>
      <c r="C970" s="10" t="s">
        <v>41</v>
      </c>
      <c r="D970" s="7"/>
      <c r="E970" s="7"/>
      <c r="F970" s="7">
        <f t="shared" si="168"/>
        <v>0</v>
      </c>
      <c r="G970" s="8"/>
      <c r="H970" s="7">
        <f t="shared" si="164"/>
        <v>0</v>
      </c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9">
        <f t="shared" si="165"/>
        <v>0</v>
      </c>
      <c r="T970" s="10">
        <f t="shared" si="166"/>
        <v>0</v>
      </c>
      <c r="U970" s="10"/>
    </row>
    <row r="971" spans="1:21">
      <c r="A971" s="6"/>
      <c r="B971" s="10" t="s">
        <v>64</v>
      </c>
      <c r="C971" s="10" t="s">
        <v>41</v>
      </c>
      <c r="D971" s="7"/>
      <c r="E971" s="7"/>
      <c r="F971" s="7">
        <f t="shared" si="168"/>
        <v>5</v>
      </c>
      <c r="G971" s="8"/>
      <c r="H971" s="7">
        <f t="shared" si="164"/>
        <v>0</v>
      </c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9">
        <f t="shared" si="165"/>
        <v>5</v>
      </c>
      <c r="T971" s="10">
        <f t="shared" si="166"/>
        <v>0</v>
      </c>
      <c r="U971" s="10"/>
    </row>
    <row r="972" spans="1:21">
      <c r="A972" s="6"/>
      <c r="B972" s="11" t="s">
        <v>65</v>
      </c>
      <c r="C972" s="7" t="s">
        <v>26</v>
      </c>
      <c r="D972" s="7"/>
      <c r="E972" s="7"/>
      <c r="F972" s="7">
        <f t="shared" si="168"/>
        <v>0</v>
      </c>
      <c r="G972" s="8"/>
      <c r="H972" s="7">
        <f t="shared" si="164"/>
        <v>0</v>
      </c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9">
        <f t="shared" si="165"/>
        <v>0</v>
      </c>
      <c r="T972" s="10">
        <f t="shared" si="166"/>
        <v>0</v>
      </c>
      <c r="U972" s="10"/>
    </row>
    <row r="973" spans="1:21">
      <c r="A973" s="6"/>
      <c r="B973" s="11" t="s">
        <v>66</v>
      </c>
      <c r="C973" s="7" t="s">
        <v>26</v>
      </c>
      <c r="D973" s="7"/>
      <c r="E973" s="7"/>
      <c r="F973" s="7">
        <f t="shared" si="168"/>
        <v>71</v>
      </c>
      <c r="G973" s="8"/>
      <c r="H973" s="7">
        <f t="shared" si="164"/>
        <v>0</v>
      </c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9">
        <f t="shared" si="165"/>
        <v>71</v>
      </c>
      <c r="T973" s="10">
        <f t="shared" si="166"/>
        <v>0</v>
      </c>
      <c r="U973" s="10"/>
    </row>
    <row r="974" spans="1:21">
      <c r="A974" s="6"/>
      <c r="B974" s="11" t="s">
        <v>67</v>
      </c>
      <c r="C974" s="7" t="s">
        <v>26</v>
      </c>
      <c r="D974" s="7"/>
      <c r="E974" s="7"/>
      <c r="F974" s="7">
        <f t="shared" si="168"/>
        <v>0</v>
      </c>
      <c r="G974" s="8"/>
      <c r="H974" s="7">
        <f t="shared" si="164"/>
        <v>0</v>
      </c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9">
        <f t="shared" si="165"/>
        <v>0</v>
      </c>
      <c r="T974" s="10">
        <f t="shared" si="166"/>
        <v>0</v>
      </c>
      <c r="U974" s="10"/>
    </row>
    <row r="975" spans="1:21">
      <c r="A975" s="6"/>
      <c r="B975" s="11" t="s">
        <v>68</v>
      </c>
      <c r="C975" s="7" t="s">
        <v>26</v>
      </c>
      <c r="D975" s="7"/>
      <c r="E975" s="7"/>
      <c r="F975" s="7">
        <f t="shared" si="168"/>
        <v>7</v>
      </c>
      <c r="G975" s="8"/>
      <c r="H975" s="7">
        <f t="shared" si="164"/>
        <v>0</v>
      </c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9">
        <f t="shared" si="165"/>
        <v>7</v>
      </c>
      <c r="T975" s="10">
        <f t="shared" si="166"/>
        <v>0</v>
      </c>
      <c r="U975" s="10"/>
    </row>
    <row r="976" spans="1:21">
      <c r="A976" s="6"/>
      <c r="B976" s="11" t="s">
        <v>69</v>
      </c>
      <c r="C976" s="7" t="s">
        <v>41</v>
      </c>
      <c r="D976" s="7"/>
      <c r="E976" s="7"/>
      <c r="F976" s="7">
        <f t="shared" ref="F976:F990" si="169">S891</f>
        <v>0</v>
      </c>
      <c r="G976" s="8"/>
      <c r="H976" s="7">
        <f t="shared" si="164"/>
        <v>0</v>
      </c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9">
        <f t="shared" si="165"/>
        <v>0</v>
      </c>
      <c r="T976" s="10">
        <f t="shared" si="166"/>
        <v>0</v>
      </c>
      <c r="U976" s="10"/>
    </row>
    <row r="977" spans="1:21">
      <c r="A977" s="6"/>
      <c r="B977" s="11" t="s">
        <v>70</v>
      </c>
      <c r="C977" s="7" t="s">
        <v>41</v>
      </c>
      <c r="D977" s="7"/>
      <c r="E977" s="7"/>
      <c r="F977" s="7">
        <f t="shared" si="169"/>
        <v>13</v>
      </c>
      <c r="G977" s="8"/>
      <c r="H977" s="7">
        <f t="shared" si="164"/>
        <v>0</v>
      </c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9">
        <f t="shared" si="165"/>
        <v>13</v>
      </c>
      <c r="T977" s="10">
        <f t="shared" si="166"/>
        <v>0</v>
      </c>
      <c r="U977" s="10"/>
    </row>
    <row r="978" spans="1:21">
      <c r="A978" s="6"/>
      <c r="B978" s="11" t="s">
        <v>71</v>
      </c>
      <c r="C978" s="7" t="s">
        <v>61</v>
      </c>
      <c r="D978" s="7"/>
      <c r="E978" s="7"/>
      <c r="F978" s="7">
        <f t="shared" si="169"/>
        <v>0</v>
      </c>
      <c r="G978" s="8"/>
      <c r="H978" s="7">
        <f t="shared" si="164"/>
        <v>0</v>
      </c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9">
        <f t="shared" si="165"/>
        <v>0</v>
      </c>
      <c r="T978" s="10">
        <f t="shared" si="166"/>
        <v>0</v>
      </c>
      <c r="U978" s="10"/>
    </row>
    <row r="979" spans="1:21">
      <c r="A979" s="6"/>
      <c r="B979" s="11" t="s">
        <v>72</v>
      </c>
      <c r="C979" s="7" t="s">
        <v>61</v>
      </c>
      <c r="D979" s="7"/>
      <c r="E979" s="7"/>
      <c r="F979" s="7">
        <f t="shared" si="169"/>
        <v>8</v>
      </c>
      <c r="G979" s="8"/>
      <c r="H979" s="7">
        <f t="shared" si="164"/>
        <v>0</v>
      </c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9">
        <f t="shared" ref="S979:S1038" si="170">F979+G979-J979-K979-L979+M979+O979-P979-R979</f>
        <v>8</v>
      </c>
      <c r="T979" s="10">
        <f t="shared" ref="T979:T1038" si="171">H979+I979+N979+R979-Q979</f>
        <v>0</v>
      </c>
      <c r="U979" s="10"/>
    </row>
    <row r="980" spans="1:21">
      <c r="A980" s="6"/>
      <c r="B980" s="11" t="s">
        <v>73</v>
      </c>
      <c r="C980" s="7" t="s">
        <v>26</v>
      </c>
      <c r="D980" s="7"/>
      <c r="E980" s="7"/>
      <c r="F980" s="7">
        <f t="shared" si="169"/>
        <v>0</v>
      </c>
      <c r="G980" s="8"/>
      <c r="H980" s="7">
        <f t="shared" si="164"/>
        <v>0</v>
      </c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9">
        <f t="shared" si="170"/>
        <v>0</v>
      </c>
      <c r="T980" s="10">
        <f t="shared" si="171"/>
        <v>0</v>
      </c>
      <c r="U980" s="10"/>
    </row>
    <row r="981" spans="1:21">
      <c r="A981" s="6"/>
      <c r="B981" s="11" t="s">
        <v>74</v>
      </c>
      <c r="C981" s="7" t="s">
        <v>26</v>
      </c>
      <c r="D981" s="7"/>
      <c r="E981" s="7"/>
      <c r="F981" s="7">
        <f t="shared" si="169"/>
        <v>22</v>
      </c>
      <c r="G981" s="8"/>
      <c r="H981" s="7">
        <f t="shared" si="164"/>
        <v>0</v>
      </c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9">
        <f t="shared" si="170"/>
        <v>22</v>
      </c>
      <c r="T981" s="10">
        <f t="shared" si="171"/>
        <v>0</v>
      </c>
      <c r="U981" s="10"/>
    </row>
    <row r="982" spans="1:21">
      <c r="A982" s="6"/>
      <c r="B982" s="11" t="s">
        <v>75</v>
      </c>
      <c r="C982" s="7" t="s">
        <v>26</v>
      </c>
      <c r="D982" s="7"/>
      <c r="E982" s="7"/>
      <c r="F982" s="7">
        <f t="shared" si="169"/>
        <v>0</v>
      </c>
      <c r="G982" s="8"/>
      <c r="H982" s="7">
        <f t="shared" si="164"/>
        <v>0</v>
      </c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9">
        <f t="shared" si="170"/>
        <v>0</v>
      </c>
      <c r="T982" s="10">
        <f t="shared" si="171"/>
        <v>0</v>
      </c>
      <c r="U982" s="10"/>
    </row>
    <row r="983" spans="1:21">
      <c r="A983" s="6"/>
      <c r="B983" s="11" t="s">
        <v>76</v>
      </c>
      <c r="C983" s="7" t="s">
        <v>26</v>
      </c>
      <c r="D983" s="7"/>
      <c r="E983" s="7"/>
      <c r="F983" s="7">
        <f t="shared" si="169"/>
        <v>20</v>
      </c>
      <c r="G983" s="8"/>
      <c r="H983" s="7">
        <f t="shared" si="164"/>
        <v>0</v>
      </c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9">
        <f t="shared" si="170"/>
        <v>20</v>
      </c>
      <c r="T983" s="10">
        <f t="shared" si="171"/>
        <v>0</v>
      </c>
      <c r="U983" s="10"/>
    </row>
    <row r="984" spans="1:21">
      <c r="A984" s="6"/>
      <c r="B984" s="11" t="s">
        <v>77</v>
      </c>
      <c r="C984" s="7" t="s">
        <v>61</v>
      </c>
      <c r="D984" s="7"/>
      <c r="E984" s="7"/>
      <c r="F984" s="7">
        <f t="shared" si="169"/>
        <v>0</v>
      </c>
      <c r="G984" s="8"/>
      <c r="H984" s="7">
        <f t="shared" si="164"/>
        <v>0</v>
      </c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9">
        <f t="shared" si="170"/>
        <v>0</v>
      </c>
      <c r="T984" s="10">
        <f t="shared" si="171"/>
        <v>0</v>
      </c>
      <c r="U984" s="10"/>
    </row>
    <row r="985" spans="1:21">
      <c r="A985" s="6"/>
      <c r="B985" s="11" t="s">
        <v>78</v>
      </c>
      <c r="C985" s="7" t="s">
        <v>61</v>
      </c>
      <c r="D985" s="7"/>
      <c r="E985" s="7"/>
      <c r="F985" s="7">
        <f t="shared" si="169"/>
        <v>69</v>
      </c>
      <c r="G985" s="8"/>
      <c r="H985" s="7">
        <f t="shared" si="164"/>
        <v>0</v>
      </c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9">
        <f t="shared" si="170"/>
        <v>69</v>
      </c>
      <c r="T985" s="10">
        <f t="shared" si="171"/>
        <v>0</v>
      </c>
      <c r="U985" s="10"/>
    </row>
    <row r="986" spans="1:21">
      <c r="A986" s="6"/>
      <c r="B986" s="11" t="s">
        <v>105</v>
      </c>
      <c r="C986" s="7" t="s">
        <v>26</v>
      </c>
      <c r="D986" s="7"/>
      <c r="E986" s="7"/>
      <c r="F986" s="7">
        <f t="shared" si="169"/>
        <v>670</v>
      </c>
      <c r="G986" s="8"/>
      <c r="H986" s="7">
        <f t="shared" si="164"/>
        <v>0</v>
      </c>
      <c r="I986" s="7"/>
      <c r="J986" s="7">
        <v>20</v>
      </c>
      <c r="K986" s="7"/>
      <c r="L986" s="7"/>
      <c r="M986" s="7"/>
      <c r="N986" s="7"/>
      <c r="O986" s="7"/>
      <c r="P986" s="7"/>
      <c r="Q986" s="7"/>
      <c r="R986" s="7"/>
      <c r="S986" s="9">
        <f t="shared" si="170"/>
        <v>650</v>
      </c>
      <c r="T986" s="10">
        <f t="shared" si="171"/>
        <v>0</v>
      </c>
      <c r="U986" s="10"/>
    </row>
    <row r="987" spans="1:21">
      <c r="A987" s="6"/>
      <c r="B987" s="11" t="s">
        <v>80</v>
      </c>
      <c r="C987" s="7" t="s">
        <v>26</v>
      </c>
      <c r="D987" s="7"/>
      <c r="E987" s="7"/>
      <c r="F987" s="7">
        <f t="shared" si="169"/>
        <v>615</v>
      </c>
      <c r="G987" s="8"/>
      <c r="H987" s="7">
        <f t="shared" si="164"/>
        <v>0</v>
      </c>
      <c r="I987" s="7"/>
      <c r="J987" s="7"/>
      <c r="K987" s="7"/>
      <c r="L987" s="7"/>
      <c r="M987" s="7">
        <v>48</v>
      </c>
      <c r="N987" s="7"/>
      <c r="O987" s="7"/>
      <c r="P987" s="7"/>
      <c r="Q987" s="7"/>
      <c r="R987" s="7"/>
      <c r="S987" s="9">
        <f t="shared" si="170"/>
        <v>663</v>
      </c>
      <c r="T987" s="10">
        <f t="shared" si="171"/>
        <v>0</v>
      </c>
      <c r="U987" s="10"/>
    </row>
    <row r="988" spans="1:21">
      <c r="A988" s="6"/>
      <c r="B988" s="11" t="s">
        <v>81</v>
      </c>
      <c r="C988" s="7" t="s">
        <v>26</v>
      </c>
      <c r="D988" s="7"/>
      <c r="E988" s="7"/>
      <c r="F988" s="7">
        <f t="shared" ref="F988:F1001" si="172">S903</f>
        <v>0</v>
      </c>
      <c r="G988" s="8"/>
      <c r="H988" s="7">
        <f t="shared" si="164"/>
        <v>0</v>
      </c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9">
        <f t="shared" si="170"/>
        <v>0</v>
      </c>
      <c r="T988" s="10">
        <f t="shared" si="171"/>
        <v>0</v>
      </c>
      <c r="U988" s="10"/>
    </row>
    <row r="989" spans="1:21">
      <c r="A989" s="6"/>
      <c r="B989" s="11" t="s">
        <v>82</v>
      </c>
      <c r="C989" s="7" t="s">
        <v>26</v>
      </c>
      <c r="D989" s="7"/>
      <c r="E989" s="7"/>
      <c r="F989" s="7">
        <f t="shared" si="172"/>
        <v>14</v>
      </c>
      <c r="G989" s="8"/>
      <c r="H989" s="7">
        <f t="shared" si="164"/>
        <v>0</v>
      </c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9">
        <f t="shared" si="170"/>
        <v>14</v>
      </c>
      <c r="T989" s="10">
        <f t="shared" si="171"/>
        <v>0</v>
      </c>
      <c r="U989" s="10"/>
    </row>
    <row r="990" spans="1:21">
      <c r="A990" s="6"/>
      <c r="B990" s="11" t="s">
        <v>83</v>
      </c>
      <c r="C990" s="7" t="s">
        <v>26</v>
      </c>
      <c r="D990" s="7"/>
      <c r="E990" s="7"/>
      <c r="F990" s="7">
        <f t="shared" si="172"/>
        <v>0</v>
      </c>
      <c r="G990" s="8"/>
      <c r="H990" s="7">
        <f t="shared" si="164"/>
        <v>0</v>
      </c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9">
        <f t="shared" si="170"/>
        <v>0</v>
      </c>
      <c r="T990" s="10">
        <f t="shared" si="171"/>
        <v>0</v>
      </c>
      <c r="U990" s="10"/>
    </row>
    <row r="991" spans="1:21">
      <c r="A991" s="6"/>
      <c r="B991" s="11" t="s">
        <v>84</v>
      </c>
      <c r="C991" s="7" t="s">
        <v>26</v>
      </c>
      <c r="D991" s="7"/>
      <c r="E991" s="7"/>
      <c r="F991" s="7">
        <f t="shared" si="172"/>
        <v>28</v>
      </c>
      <c r="G991" s="8"/>
      <c r="H991" s="7">
        <f t="shared" si="164"/>
        <v>0</v>
      </c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9">
        <f t="shared" si="170"/>
        <v>28</v>
      </c>
      <c r="T991" s="10">
        <f t="shared" si="171"/>
        <v>0</v>
      </c>
      <c r="U991" s="10"/>
    </row>
    <row r="992" spans="1:21">
      <c r="A992" s="6"/>
      <c r="B992" s="11" t="s">
        <v>85</v>
      </c>
      <c r="C992" s="7" t="s">
        <v>61</v>
      </c>
      <c r="D992" s="7"/>
      <c r="E992" s="7"/>
      <c r="F992" s="7">
        <f t="shared" si="172"/>
        <v>0</v>
      </c>
      <c r="G992" s="8"/>
      <c r="H992" s="7">
        <f t="shared" si="164"/>
        <v>0</v>
      </c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9">
        <f t="shared" si="170"/>
        <v>0</v>
      </c>
      <c r="T992" s="10">
        <f t="shared" si="171"/>
        <v>0</v>
      </c>
      <c r="U992" s="10"/>
    </row>
    <row r="993" spans="1:21">
      <c r="A993" s="6"/>
      <c r="B993" s="11" t="s">
        <v>86</v>
      </c>
      <c r="C993" s="7" t="s">
        <v>61</v>
      </c>
      <c r="D993" s="7"/>
      <c r="E993" s="7"/>
      <c r="F993" s="7">
        <f t="shared" si="172"/>
        <v>10</v>
      </c>
      <c r="G993" s="8"/>
      <c r="H993" s="7">
        <f t="shared" si="164"/>
        <v>0</v>
      </c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9">
        <f t="shared" si="170"/>
        <v>10</v>
      </c>
      <c r="T993" s="10">
        <f t="shared" si="171"/>
        <v>0</v>
      </c>
      <c r="U993" s="10"/>
    </row>
    <row r="994" spans="1:21">
      <c r="A994" s="6"/>
      <c r="B994" s="11" t="s">
        <v>87</v>
      </c>
      <c r="C994" s="7" t="s">
        <v>26</v>
      </c>
      <c r="D994" s="7"/>
      <c r="E994" s="7"/>
      <c r="F994" s="7">
        <f t="shared" si="172"/>
        <v>0</v>
      </c>
      <c r="G994" s="8"/>
      <c r="H994" s="7">
        <f t="shared" si="164"/>
        <v>0</v>
      </c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9">
        <f t="shared" si="170"/>
        <v>0</v>
      </c>
      <c r="T994" s="10">
        <f t="shared" si="171"/>
        <v>0</v>
      </c>
      <c r="U994" s="10"/>
    </row>
    <row r="995" spans="1:21">
      <c r="A995" s="6"/>
      <c r="B995" s="11" t="s">
        <v>88</v>
      </c>
      <c r="C995" s="10"/>
      <c r="D995" s="7"/>
      <c r="E995" s="7"/>
      <c r="F995" s="7">
        <f t="shared" si="172"/>
        <v>37</v>
      </c>
      <c r="G995" s="8"/>
      <c r="H995" s="7">
        <f t="shared" si="164"/>
        <v>0</v>
      </c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9">
        <f t="shared" si="170"/>
        <v>37</v>
      </c>
      <c r="T995" s="10">
        <f t="shared" si="171"/>
        <v>0</v>
      </c>
      <c r="U995" s="10"/>
    </row>
    <row r="996" spans="1:21">
      <c r="A996" s="6"/>
      <c r="B996" s="11" t="s">
        <v>89</v>
      </c>
      <c r="C996" s="7" t="s">
        <v>26</v>
      </c>
      <c r="D996" s="7"/>
      <c r="E996" s="7"/>
      <c r="F996" s="7">
        <f t="shared" si="172"/>
        <v>858</v>
      </c>
      <c r="G996" s="8"/>
      <c r="H996" s="7">
        <f t="shared" si="164"/>
        <v>0</v>
      </c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9">
        <f t="shared" si="170"/>
        <v>858</v>
      </c>
      <c r="T996" s="10">
        <f t="shared" si="171"/>
        <v>0</v>
      </c>
      <c r="U996" s="10"/>
    </row>
    <row r="997" spans="1:21">
      <c r="A997" s="6"/>
      <c r="B997" s="11" t="s">
        <v>90</v>
      </c>
      <c r="C997" s="7" t="s">
        <v>26</v>
      </c>
      <c r="D997" s="7"/>
      <c r="E997" s="7"/>
      <c r="F997" s="7">
        <f t="shared" ref="F997:F1011" si="173">S912</f>
        <v>0</v>
      </c>
      <c r="G997" s="8"/>
      <c r="H997" s="7">
        <f t="shared" si="164"/>
        <v>0</v>
      </c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9">
        <f t="shared" si="170"/>
        <v>0</v>
      </c>
      <c r="T997" s="10">
        <f t="shared" si="171"/>
        <v>0</v>
      </c>
      <c r="U997" s="10"/>
    </row>
    <row r="998" spans="1:21">
      <c r="A998" s="6"/>
      <c r="B998" s="11" t="s">
        <v>91</v>
      </c>
      <c r="C998" s="7" t="s">
        <v>26</v>
      </c>
      <c r="D998" s="7"/>
      <c r="E998" s="7"/>
      <c r="F998" s="7">
        <f t="shared" si="173"/>
        <v>138</v>
      </c>
      <c r="G998" s="8"/>
      <c r="H998" s="7">
        <f t="shared" si="164"/>
        <v>0</v>
      </c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9">
        <f t="shared" si="170"/>
        <v>138</v>
      </c>
      <c r="T998" s="10">
        <f t="shared" si="171"/>
        <v>0</v>
      </c>
      <c r="U998" s="10"/>
    </row>
    <row r="999" spans="1:21">
      <c r="A999" s="6"/>
      <c r="B999" s="12" t="s">
        <v>92</v>
      </c>
      <c r="C999" s="13" t="s">
        <v>26</v>
      </c>
      <c r="D999" s="7"/>
      <c r="E999" s="7"/>
      <c r="F999" s="7">
        <f t="shared" si="173"/>
        <v>1905</v>
      </c>
      <c r="G999" s="8"/>
      <c r="H999" s="7">
        <f t="shared" si="164"/>
        <v>0</v>
      </c>
      <c r="I999" s="7"/>
      <c r="J999" s="7">
        <v>180</v>
      </c>
      <c r="K999" s="7"/>
      <c r="L999" s="7"/>
      <c r="M999" s="7"/>
      <c r="N999" s="7"/>
      <c r="O999" s="7"/>
      <c r="P999" s="7"/>
      <c r="Q999" s="7"/>
      <c r="R999" s="7"/>
      <c r="S999" s="9">
        <f t="shared" si="170"/>
        <v>1725</v>
      </c>
      <c r="T999" s="10">
        <f t="shared" si="171"/>
        <v>0</v>
      </c>
      <c r="U999" s="10"/>
    </row>
    <row r="1000" spans="1:21">
      <c r="A1000" s="6"/>
      <c r="B1000" s="12" t="s">
        <v>93</v>
      </c>
      <c r="C1000" s="13" t="s">
        <v>26</v>
      </c>
      <c r="D1000" s="7"/>
      <c r="E1000" s="7"/>
      <c r="F1000" s="7">
        <f t="shared" si="173"/>
        <v>2413</v>
      </c>
      <c r="G1000" s="8"/>
      <c r="H1000" s="7">
        <f t="shared" si="164"/>
        <v>0</v>
      </c>
      <c r="I1000" s="7"/>
      <c r="J1000" s="7"/>
      <c r="K1000" s="7"/>
      <c r="L1000" s="7"/>
      <c r="M1000" s="7">
        <v>23</v>
      </c>
      <c r="N1000" s="7"/>
      <c r="O1000" s="7"/>
      <c r="P1000" s="7"/>
      <c r="Q1000" s="7"/>
      <c r="R1000" s="7"/>
      <c r="S1000" s="9">
        <f t="shared" si="170"/>
        <v>2436</v>
      </c>
      <c r="T1000" s="10">
        <f t="shared" si="171"/>
        <v>0</v>
      </c>
      <c r="U1000" s="10"/>
    </row>
    <row r="1001" spans="1:21">
      <c r="A1001" s="6"/>
      <c r="B1001" s="11" t="s">
        <v>94</v>
      </c>
      <c r="C1001" s="7" t="s">
        <v>41</v>
      </c>
      <c r="D1001" s="7"/>
      <c r="E1001" s="7"/>
      <c r="F1001" s="7">
        <f t="shared" si="173"/>
        <v>0</v>
      </c>
      <c r="G1001" s="8"/>
      <c r="H1001" s="7">
        <f t="shared" si="164"/>
        <v>0</v>
      </c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9">
        <f t="shared" si="170"/>
        <v>0</v>
      </c>
      <c r="T1001" s="10">
        <f t="shared" si="171"/>
        <v>0</v>
      </c>
      <c r="U1001" s="10"/>
    </row>
    <row r="1002" spans="1:21">
      <c r="A1002" s="6"/>
      <c r="B1002" s="11" t="s">
        <v>95</v>
      </c>
      <c r="C1002" s="7" t="s">
        <v>41</v>
      </c>
      <c r="D1002" s="7"/>
      <c r="E1002" s="7"/>
      <c r="F1002" s="7">
        <f t="shared" si="173"/>
        <v>39</v>
      </c>
      <c r="G1002" s="8"/>
      <c r="H1002" s="7">
        <f t="shared" si="164"/>
        <v>0</v>
      </c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9">
        <f t="shared" si="170"/>
        <v>39</v>
      </c>
      <c r="T1002" s="10">
        <f t="shared" si="171"/>
        <v>0</v>
      </c>
      <c r="U1002" s="10"/>
    </row>
    <row r="1003" spans="1:21">
      <c r="A1003" s="6"/>
      <c r="B1003" s="11" t="s">
        <v>96</v>
      </c>
      <c r="C1003" s="7" t="s">
        <v>41</v>
      </c>
      <c r="D1003" s="7"/>
      <c r="E1003" s="7"/>
      <c r="F1003" s="7">
        <f t="shared" si="173"/>
        <v>0</v>
      </c>
      <c r="G1003" s="8"/>
      <c r="H1003" s="7">
        <f t="shared" si="164"/>
        <v>0</v>
      </c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9">
        <f t="shared" si="170"/>
        <v>0</v>
      </c>
      <c r="T1003" s="10">
        <f t="shared" si="171"/>
        <v>0</v>
      </c>
      <c r="U1003" s="10"/>
    </row>
    <row r="1004" spans="1:21">
      <c r="A1004" s="6"/>
      <c r="B1004" s="11" t="s">
        <v>97</v>
      </c>
      <c r="C1004" s="7" t="s">
        <v>41</v>
      </c>
      <c r="D1004" s="7"/>
      <c r="E1004" s="7"/>
      <c r="F1004" s="7">
        <f t="shared" si="173"/>
        <v>0</v>
      </c>
      <c r="G1004" s="8"/>
      <c r="H1004" s="7">
        <f t="shared" si="164"/>
        <v>0</v>
      </c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9">
        <f t="shared" si="170"/>
        <v>0</v>
      </c>
      <c r="T1004" s="10">
        <f t="shared" si="171"/>
        <v>0</v>
      </c>
      <c r="U1004" s="10"/>
    </row>
    <row r="1005" spans="1:21">
      <c r="A1005" s="6"/>
      <c r="B1005" s="11" t="s">
        <v>98</v>
      </c>
      <c r="C1005" s="7" t="s">
        <v>26</v>
      </c>
      <c r="D1005" s="7"/>
      <c r="E1005" s="7"/>
      <c r="F1005" s="7">
        <f t="shared" ref="F1005:F1021" si="174">S920</f>
        <v>368</v>
      </c>
      <c r="G1005" s="8"/>
      <c r="H1005" s="7">
        <f t="shared" si="164"/>
        <v>0</v>
      </c>
      <c r="I1005" s="7"/>
      <c r="J1005" s="7">
        <v>120</v>
      </c>
      <c r="K1005" s="7"/>
      <c r="L1005" s="7"/>
      <c r="M1005" s="7">
        <v>1</v>
      </c>
      <c r="N1005" s="7"/>
      <c r="O1005" s="7"/>
      <c r="P1005" s="7"/>
      <c r="Q1005" s="7"/>
      <c r="R1005" s="7"/>
      <c r="S1005" s="9">
        <f t="shared" si="170"/>
        <v>249</v>
      </c>
      <c r="T1005" s="10">
        <f t="shared" si="171"/>
        <v>0</v>
      </c>
      <c r="U1005" s="10"/>
    </row>
    <row r="1006" spans="1:21">
      <c r="A1006" s="6"/>
      <c r="B1006" s="11" t="s">
        <v>99</v>
      </c>
      <c r="C1006" s="7" t="s">
        <v>26</v>
      </c>
      <c r="D1006" s="7"/>
      <c r="E1006" s="7"/>
      <c r="F1006" s="7">
        <f t="shared" si="174"/>
        <v>1145</v>
      </c>
      <c r="G1006" s="8"/>
      <c r="H1006" s="7">
        <f t="shared" si="164"/>
        <v>0</v>
      </c>
      <c r="I1006" s="7"/>
      <c r="J1006" s="7"/>
      <c r="K1006" s="7"/>
      <c r="L1006" s="7"/>
      <c r="M1006" s="7">
        <v>22</v>
      </c>
      <c r="N1006" s="7"/>
      <c r="O1006" s="7"/>
      <c r="P1006" s="7"/>
      <c r="Q1006" s="7"/>
      <c r="R1006" s="7"/>
      <c r="S1006" s="9">
        <f t="shared" si="170"/>
        <v>1167</v>
      </c>
      <c r="T1006" s="10">
        <f t="shared" si="171"/>
        <v>0</v>
      </c>
      <c r="U1006" s="10"/>
    </row>
    <row r="1007" spans="1:21">
      <c r="A1007" s="6"/>
      <c r="B1007" s="11" t="s">
        <v>100</v>
      </c>
      <c r="C1007" s="7" t="s">
        <v>26</v>
      </c>
      <c r="D1007" s="7"/>
      <c r="E1007" s="7"/>
      <c r="F1007" s="7">
        <f t="shared" si="174"/>
        <v>127</v>
      </c>
      <c r="G1007" s="8"/>
      <c r="H1007" s="7">
        <f t="shared" si="164"/>
        <v>0</v>
      </c>
      <c r="I1007" s="7"/>
      <c r="J1007" s="7">
        <v>36</v>
      </c>
      <c r="K1007" s="7"/>
      <c r="L1007" s="7"/>
      <c r="M1007" s="7">
        <v>1</v>
      </c>
      <c r="N1007" s="7"/>
      <c r="O1007" s="7"/>
      <c r="P1007" s="7"/>
      <c r="Q1007" s="7"/>
      <c r="R1007" s="7"/>
      <c r="S1007" s="9">
        <f t="shared" si="170"/>
        <v>92</v>
      </c>
      <c r="T1007" s="10">
        <f t="shared" si="171"/>
        <v>0</v>
      </c>
      <c r="U1007" s="10"/>
    </row>
    <row r="1008" spans="1:21">
      <c r="A1008" s="6"/>
      <c r="B1008" s="11" t="s">
        <v>101</v>
      </c>
      <c r="C1008" s="7" t="s">
        <v>26</v>
      </c>
      <c r="D1008" s="7"/>
      <c r="E1008" s="7"/>
      <c r="F1008" s="7">
        <f t="shared" si="174"/>
        <v>328</v>
      </c>
      <c r="G1008" s="8"/>
      <c r="H1008" s="7">
        <f t="shared" si="164"/>
        <v>0</v>
      </c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9">
        <f t="shared" si="170"/>
        <v>328</v>
      </c>
      <c r="T1008" s="10">
        <f t="shared" si="171"/>
        <v>0</v>
      </c>
      <c r="U1008" s="10"/>
    </row>
    <row r="1009" spans="1:25">
      <c r="A1009" s="6"/>
      <c r="B1009" s="11" t="s">
        <v>102</v>
      </c>
      <c r="C1009" s="7" t="s">
        <v>26</v>
      </c>
      <c r="D1009" s="7"/>
      <c r="E1009" s="7"/>
      <c r="F1009" s="7">
        <f t="shared" si="174"/>
        <v>860</v>
      </c>
      <c r="G1009" s="8"/>
      <c r="H1009" s="7">
        <f t="shared" si="164"/>
        <v>0</v>
      </c>
      <c r="I1009" s="7"/>
      <c r="J1009" s="7">
        <v>20</v>
      </c>
      <c r="K1009" s="7"/>
      <c r="L1009" s="7"/>
      <c r="M1009" s="7"/>
      <c r="N1009" s="7"/>
      <c r="O1009" s="7"/>
      <c r="P1009" s="7"/>
      <c r="Q1009" s="7"/>
      <c r="R1009" s="7"/>
      <c r="S1009" s="9">
        <f t="shared" si="170"/>
        <v>840</v>
      </c>
      <c r="T1009" s="10">
        <f t="shared" si="171"/>
        <v>0</v>
      </c>
      <c r="U1009" s="10"/>
    </row>
    <row r="1010" spans="1:25">
      <c r="A1010" s="6"/>
      <c r="B1010" s="11" t="s">
        <v>103</v>
      </c>
      <c r="C1010" s="7" t="s">
        <v>26</v>
      </c>
      <c r="D1010" s="7"/>
      <c r="E1010" s="7"/>
      <c r="F1010" s="7">
        <f t="shared" si="174"/>
        <v>303</v>
      </c>
      <c r="G1010" s="8"/>
      <c r="H1010" s="7">
        <f t="shared" si="164"/>
        <v>0</v>
      </c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9">
        <f t="shared" si="170"/>
        <v>303</v>
      </c>
      <c r="T1010" s="10">
        <f t="shared" si="171"/>
        <v>0</v>
      </c>
      <c r="U1010" s="10"/>
    </row>
    <row r="1011" spans="1:25">
      <c r="A1011" s="6"/>
      <c r="B1011" s="11" t="s">
        <v>112</v>
      </c>
      <c r="C1011" s="7" t="s">
        <v>113</v>
      </c>
      <c r="D1011" s="7"/>
      <c r="E1011" s="7"/>
      <c r="F1011" s="7">
        <f t="shared" si="174"/>
        <v>1383</v>
      </c>
      <c r="G1011" s="8"/>
      <c r="H1011" s="7">
        <f t="shared" ref="H1011:H1031" si="175">T926</f>
        <v>0</v>
      </c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9">
        <f t="shared" si="170"/>
        <v>1383</v>
      </c>
      <c r="T1011" s="10">
        <f t="shared" si="171"/>
        <v>0</v>
      </c>
      <c r="U1011" s="10"/>
    </row>
    <row r="1012" spans="1:25">
      <c r="A1012" s="6"/>
      <c r="B1012" s="11"/>
      <c r="C1012" s="7"/>
      <c r="D1012" s="7"/>
      <c r="E1012" s="7"/>
      <c r="F1012" s="7">
        <f t="shared" si="174"/>
        <v>0</v>
      </c>
      <c r="G1012" s="8"/>
      <c r="H1012" s="7">
        <f t="shared" si="175"/>
        <v>0</v>
      </c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9">
        <f t="shared" si="170"/>
        <v>0</v>
      </c>
      <c r="T1012" s="10">
        <f t="shared" si="171"/>
        <v>0</v>
      </c>
      <c r="U1012" s="10"/>
    </row>
    <row r="1013" spans="1:25">
      <c r="A1013" s="6"/>
      <c r="B1013" s="11"/>
      <c r="C1013" s="7"/>
      <c r="D1013" s="7"/>
      <c r="E1013" s="7"/>
      <c r="F1013" s="7">
        <f t="shared" si="174"/>
        <v>0</v>
      </c>
      <c r="G1013" s="8"/>
      <c r="H1013" s="7">
        <f t="shared" si="175"/>
        <v>0</v>
      </c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9">
        <f t="shared" si="170"/>
        <v>0</v>
      </c>
      <c r="T1013" s="10">
        <f t="shared" si="171"/>
        <v>0</v>
      </c>
      <c r="U1013" s="10"/>
    </row>
    <row r="1014" spans="1:25">
      <c r="A1014" s="6"/>
      <c r="B1014" s="11"/>
      <c r="C1014" s="7"/>
      <c r="D1014" s="7"/>
      <c r="E1014" s="7"/>
      <c r="F1014" s="7">
        <f t="shared" si="174"/>
        <v>0</v>
      </c>
      <c r="G1014" s="8"/>
      <c r="H1014" s="7">
        <f t="shared" si="175"/>
        <v>0</v>
      </c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9">
        <f t="shared" si="170"/>
        <v>0</v>
      </c>
      <c r="T1014" s="10">
        <f t="shared" si="171"/>
        <v>0</v>
      </c>
      <c r="U1014" s="10"/>
    </row>
    <row r="1015" spans="1:25">
      <c r="A1015" s="6"/>
      <c r="B1015" s="11"/>
      <c r="C1015" s="7"/>
      <c r="D1015" s="7"/>
      <c r="E1015" s="7"/>
      <c r="F1015" s="7">
        <f t="shared" si="174"/>
        <v>0</v>
      </c>
      <c r="G1015" s="8"/>
      <c r="H1015" s="7">
        <f t="shared" si="175"/>
        <v>0</v>
      </c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9">
        <f t="shared" si="170"/>
        <v>0</v>
      </c>
      <c r="T1015" s="10">
        <f t="shared" si="171"/>
        <v>0</v>
      </c>
      <c r="U1015" s="10"/>
    </row>
    <row r="1016" spans="1:25">
      <c r="A1016" s="6"/>
      <c r="B1016" s="11"/>
      <c r="C1016" s="7"/>
      <c r="D1016" s="7"/>
      <c r="E1016" s="7"/>
      <c r="F1016" s="7">
        <f t="shared" si="174"/>
        <v>0</v>
      </c>
      <c r="G1016" s="8"/>
      <c r="H1016" s="7">
        <f t="shared" si="175"/>
        <v>0</v>
      </c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9">
        <f t="shared" si="170"/>
        <v>0</v>
      </c>
      <c r="T1016" s="10">
        <f t="shared" si="171"/>
        <v>0</v>
      </c>
      <c r="U1016" s="10"/>
    </row>
    <row r="1017" spans="1:25">
      <c r="A1017" s="6"/>
      <c r="B1017" s="11"/>
      <c r="C1017" s="7"/>
      <c r="D1017" s="7"/>
      <c r="E1017" s="7"/>
      <c r="F1017" s="7">
        <f t="shared" si="174"/>
        <v>0</v>
      </c>
      <c r="G1017" s="8"/>
      <c r="H1017" s="7">
        <f t="shared" si="175"/>
        <v>0</v>
      </c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9">
        <f t="shared" si="170"/>
        <v>0</v>
      </c>
      <c r="T1017" s="10">
        <f t="shared" si="171"/>
        <v>0</v>
      </c>
      <c r="U1017" s="10"/>
    </row>
    <row r="1018" spans="1:25">
      <c r="A1018" s="6"/>
      <c r="B1018" s="11"/>
      <c r="C1018" s="7"/>
      <c r="D1018" s="7"/>
      <c r="E1018" s="7"/>
      <c r="F1018" s="7">
        <f t="shared" si="174"/>
        <v>0</v>
      </c>
      <c r="G1018" s="8"/>
      <c r="H1018" s="7">
        <f t="shared" si="175"/>
        <v>0</v>
      </c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9">
        <f t="shared" si="170"/>
        <v>0</v>
      </c>
      <c r="T1018" s="10">
        <f t="shared" si="171"/>
        <v>0</v>
      </c>
      <c r="U1018" s="10"/>
    </row>
    <row r="1019" spans="1:25">
      <c r="A1019" s="6"/>
      <c r="B1019" s="11"/>
      <c r="C1019" s="7"/>
      <c r="D1019" s="7"/>
      <c r="E1019" s="7"/>
      <c r="F1019" s="7">
        <f t="shared" si="174"/>
        <v>0</v>
      </c>
      <c r="G1019" s="8"/>
      <c r="H1019" s="7">
        <f t="shared" si="175"/>
        <v>0</v>
      </c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9">
        <f t="shared" si="170"/>
        <v>0</v>
      </c>
      <c r="T1019" s="10">
        <f t="shared" si="171"/>
        <v>0</v>
      </c>
      <c r="U1019" s="10"/>
    </row>
    <row r="1020" spans="1:25">
      <c r="A1020" s="6"/>
      <c r="B1020" s="11"/>
      <c r="C1020" s="7"/>
      <c r="D1020" s="7"/>
      <c r="E1020" s="7"/>
      <c r="F1020" s="7">
        <f t="shared" si="174"/>
        <v>0</v>
      </c>
      <c r="G1020" s="8"/>
      <c r="H1020" s="7">
        <f t="shared" si="175"/>
        <v>0</v>
      </c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9">
        <f t="shared" si="170"/>
        <v>0</v>
      </c>
      <c r="T1020" s="10">
        <f t="shared" si="171"/>
        <v>0</v>
      </c>
      <c r="U1020" s="10"/>
    </row>
    <row r="1021" spans="1:25">
      <c r="A1021" s="6"/>
      <c r="B1021" s="11"/>
      <c r="C1021" s="7"/>
      <c r="D1021" s="7"/>
      <c r="E1021" s="7"/>
      <c r="F1021" s="7">
        <f t="shared" si="174"/>
        <v>0</v>
      </c>
      <c r="G1021" s="8"/>
      <c r="H1021" s="7">
        <f t="shared" si="175"/>
        <v>0</v>
      </c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9">
        <f t="shared" si="170"/>
        <v>0</v>
      </c>
      <c r="T1021" s="10">
        <f t="shared" si="171"/>
        <v>0</v>
      </c>
      <c r="U1021" s="10"/>
      <c r="V1021">
        <f>X1021*0.1</f>
        <v>0</v>
      </c>
      <c r="W1021">
        <f>E1021*S1021*1.5</f>
        <v>0</v>
      </c>
      <c r="X1021">
        <f>J1021+K1021</f>
        <v>0</v>
      </c>
      <c r="Y1021">
        <f>X1021*0.13</f>
        <v>0</v>
      </c>
    </row>
    <row r="1022" spans="1:25">
      <c r="A1022" s="6">
        <v>46155</v>
      </c>
      <c r="B1022" t="s">
        <v>25</v>
      </c>
      <c r="C1022" s="7" t="s">
        <v>26</v>
      </c>
      <c r="D1022" s="7"/>
      <c r="E1022" s="7"/>
      <c r="F1022" s="7">
        <f t="shared" ref="F1021:F1033" si="176">S937</f>
        <v>940</v>
      </c>
      <c r="G1022" s="8"/>
      <c r="H1022" s="7">
        <f t="shared" si="175"/>
        <v>0</v>
      </c>
      <c r="I1022" s="7"/>
      <c r="J1022" s="7">
        <v>52</v>
      </c>
      <c r="K1022" s="7"/>
      <c r="L1022" s="7"/>
      <c r="M1022" s="7"/>
      <c r="N1022" s="7"/>
      <c r="O1022" s="7"/>
      <c r="P1022" s="7"/>
      <c r="Q1022" s="7"/>
      <c r="R1022" s="7"/>
      <c r="S1022" s="9">
        <f t="shared" si="170"/>
        <v>888</v>
      </c>
      <c r="T1022" s="10">
        <f t="shared" si="171"/>
        <v>0</v>
      </c>
      <c r="U1022" s="10"/>
      <c r="V1022">
        <f t="shared" ref="V1022:V1028" si="177">X1022*0.1</f>
        <v>5.2</v>
      </c>
      <c r="W1022">
        <f t="shared" ref="W1022:W1028" si="178">E1022*S1022*1.5</f>
        <v>0</v>
      </c>
      <c r="X1022">
        <f t="shared" ref="X1022:X1028" si="179">J1022+K1022</f>
        <v>52</v>
      </c>
      <c r="Y1022">
        <f t="shared" ref="Y1022:Y1028" si="180">X1022*0.13</f>
        <v>6.76</v>
      </c>
    </row>
    <row r="1023" spans="1:25">
      <c r="A1023" s="6"/>
      <c r="B1023" t="s">
        <v>27</v>
      </c>
      <c r="C1023" s="7" t="s">
        <v>26</v>
      </c>
      <c r="D1023" s="7"/>
      <c r="E1023" s="7"/>
      <c r="F1023" s="7">
        <f t="shared" si="176"/>
        <v>539</v>
      </c>
      <c r="G1023" s="8"/>
      <c r="H1023" s="7">
        <f t="shared" si="175"/>
        <v>0</v>
      </c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9">
        <f t="shared" si="170"/>
        <v>539</v>
      </c>
      <c r="T1023" s="10">
        <f t="shared" si="171"/>
        <v>0</v>
      </c>
      <c r="U1023" s="10"/>
      <c r="V1023">
        <f t="shared" si="177"/>
        <v>0</v>
      </c>
      <c r="W1023">
        <f t="shared" si="178"/>
        <v>0</v>
      </c>
      <c r="X1023">
        <f t="shared" si="179"/>
        <v>0</v>
      </c>
      <c r="Y1023">
        <f t="shared" si="180"/>
        <v>0</v>
      </c>
    </row>
    <row r="1024" spans="1:25">
      <c r="A1024" s="6"/>
      <c r="B1024" s="6" t="s">
        <v>28</v>
      </c>
      <c r="C1024" s="7" t="s">
        <v>26</v>
      </c>
      <c r="D1024" s="7"/>
      <c r="E1024" s="7"/>
      <c r="F1024" s="7">
        <f t="shared" si="176"/>
        <v>1156</v>
      </c>
      <c r="G1024" s="8"/>
      <c r="H1024" s="7">
        <f t="shared" si="175"/>
        <v>0</v>
      </c>
      <c r="I1024" s="7"/>
      <c r="J1024" s="7"/>
      <c r="K1024" s="7"/>
      <c r="L1024" s="7"/>
      <c r="M1024" s="7">
        <v>1</v>
      </c>
      <c r="N1024" s="7"/>
      <c r="O1024" s="7"/>
      <c r="P1024" s="7"/>
      <c r="Q1024" s="7"/>
      <c r="R1024" s="7"/>
      <c r="S1024" s="9">
        <f t="shared" si="170"/>
        <v>1157</v>
      </c>
      <c r="T1024" s="10">
        <f t="shared" si="171"/>
        <v>0</v>
      </c>
      <c r="U1024" s="10"/>
      <c r="V1024">
        <f t="shared" si="177"/>
        <v>0</v>
      </c>
      <c r="W1024">
        <f t="shared" si="178"/>
        <v>0</v>
      </c>
      <c r="X1024">
        <f t="shared" si="179"/>
        <v>0</v>
      </c>
      <c r="Y1024">
        <f t="shared" si="180"/>
        <v>0</v>
      </c>
    </row>
    <row r="1025" spans="1:25">
      <c r="A1025" s="6"/>
      <c r="B1025" s="6" t="s">
        <v>29</v>
      </c>
      <c r="C1025" s="7" t="s">
        <v>26</v>
      </c>
      <c r="D1025" s="7"/>
      <c r="E1025" s="7"/>
      <c r="F1025" s="7">
        <f t="shared" si="176"/>
        <v>187</v>
      </c>
      <c r="G1025" s="8"/>
      <c r="H1025" s="7">
        <f t="shared" si="175"/>
        <v>0</v>
      </c>
      <c r="I1025" s="7"/>
      <c r="J1025" s="7"/>
      <c r="K1025" s="7"/>
      <c r="L1025" s="7"/>
      <c r="M1025" s="7">
        <v>42</v>
      </c>
      <c r="N1025" s="7"/>
      <c r="O1025" s="7"/>
      <c r="P1025" s="7"/>
      <c r="Q1025" s="7"/>
      <c r="R1025" s="7"/>
      <c r="S1025" s="9">
        <f t="shared" si="170"/>
        <v>229</v>
      </c>
      <c r="T1025" s="10">
        <f t="shared" si="171"/>
        <v>0</v>
      </c>
      <c r="U1025" s="10"/>
      <c r="V1025">
        <f t="shared" si="177"/>
        <v>0</v>
      </c>
      <c r="W1025">
        <f t="shared" si="178"/>
        <v>0</v>
      </c>
      <c r="X1025">
        <f t="shared" si="179"/>
        <v>0</v>
      </c>
      <c r="Y1025">
        <f t="shared" si="180"/>
        <v>0</v>
      </c>
    </row>
    <row r="1026" spans="1:25">
      <c r="A1026" s="6"/>
      <c r="B1026" s="6" t="s">
        <v>30</v>
      </c>
      <c r="C1026" s="7" t="s">
        <v>26</v>
      </c>
      <c r="D1026" s="7"/>
      <c r="E1026" s="7"/>
      <c r="F1026" s="7">
        <f t="shared" si="176"/>
        <v>1566</v>
      </c>
      <c r="G1026" s="8"/>
      <c r="H1026" s="7">
        <f t="shared" si="175"/>
        <v>0</v>
      </c>
      <c r="I1026" s="7"/>
      <c r="J1026" s="7">
        <v>75</v>
      </c>
      <c r="K1026" s="7"/>
      <c r="L1026" s="7">
        <v>20</v>
      </c>
      <c r="M1026" s="7">
        <v>2</v>
      </c>
      <c r="N1026" s="7"/>
      <c r="O1026" s="7"/>
      <c r="P1026" s="7"/>
      <c r="Q1026" s="7"/>
      <c r="R1026" s="7"/>
      <c r="S1026" s="9">
        <f t="shared" si="170"/>
        <v>1473</v>
      </c>
      <c r="T1026" s="10">
        <f t="shared" si="171"/>
        <v>0</v>
      </c>
      <c r="U1026" s="10"/>
      <c r="V1026">
        <f t="shared" si="177"/>
        <v>7.5</v>
      </c>
      <c r="W1026">
        <f t="shared" si="178"/>
        <v>0</v>
      </c>
      <c r="X1026">
        <f t="shared" si="179"/>
        <v>75</v>
      </c>
      <c r="Y1026">
        <f t="shared" si="180"/>
        <v>9.75</v>
      </c>
    </row>
    <row r="1027" spans="1:25">
      <c r="A1027" s="6"/>
      <c r="B1027" s="6" t="s">
        <v>31</v>
      </c>
      <c r="C1027" s="7" t="s">
        <v>26</v>
      </c>
      <c r="D1027" s="7"/>
      <c r="E1027" s="7"/>
      <c r="F1027" s="7">
        <f t="shared" si="176"/>
        <v>1156</v>
      </c>
      <c r="G1027" s="8"/>
      <c r="H1027" s="7">
        <f t="shared" si="175"/>
        <v>0</v>
      </c>
      <c r="I1027" s="7"/>
      <c r="J1027" s="7"/>
      <c r="K1027" s="7"/>
      <c r="L1027" s="7"/>
      <c r="M1027" s="7">
        <v>70</v>
      </c>
      <c r="N1027" s="7"/>
      <c r="O1027" s="7"/>
      <c r="P1027" s="7"/>
      <c r="Q1027" s="7"/>
      <c r="R1027" s="7"/>
      <c r="S1027" s="9">
        <f t="shared" si="170"/>
        <v>1226</v>
      </c>
      <c r="T1027" s="10">
        <f t="shared" si="171"/>
        <v>0</v>
      </c>
      <c r="U1027" s="10"/>
      <c r="V1027">
        <f t="shared" si="177"/>
        <v>0</v>
      </c>
      <c r="W1027">
        <f t="shared" si="178"/>
        <v>0</v>
      </c>
      <c r="X1027">
        <f t="shared" si="179"/>
        <v>0</v>
      </c>
      <c r="Y1027">
        <f t="shared" si="180"/>
        <v>0</v>
      </c>
    </row>
    <row r="1028" spans="1:25">
      <c r="A1028" s="6"/>
      <c r="B1028" s="6" t="s">
        <v>32</v>
      </c>
      <c r="C1028" s="7" t="s">
        <v>26</v>
      </c>
      <c r="D1028" s="7"/>
      <c r="E1028" s="7"/>
      <c r="F1028" s="7">
        <f t="shared" si="176"/>
        <v>211</v>
      </c>
      <c r="G1028" s="8"/>
      <c r="H1028" s="7">
        <f t="shared" si="175"/>
        <v>0</v>
      </c>
      <c r="I1028" s="7"/>
      <c r="J1028" s="7">
        <v>60</v>
      </c>
      <c r="K1028" s="7">
        <v>60</v>
      </c>
      <c r="L1028" s="7"/>
      <c r="M1028" s="7">
        <v>2</v>
      </c>
      <c r="N1028" s="7"/>
      <c r="O1028" s="7"/>
      <c r="P1028" s="7"/>
      <c r="Q1028" s="7"/>
      <c r="R1028" s="7"/>
      <c r="S1028" s="9">
        <f t="shared" si="170"/>
        <v>93</v>
      </c>
      <c r="T1028" s="10">
        <f t="shared" si="171"/>
        <v>0</v>
      </c>
      <c r="U1028" s="10"/>
      <c r="V1028">
        <f t="shared" si="177"/>
        <v>12</v>
      </c>
      <c r="W1028">
        <f t="shared" si="178"/>
        <v>0</v>
      </c>
      <c r="X1028">
        <f t="shared" si="179"/>
        <v>120</v>
      </c>
      <c r="Y1028">
        <f t="shared" si="180"/>
        <v>15.6</v>
      </c>
    </row>
    <row r="1029" spans="1:25">
      <c r="A1029" s="6"/>
      <c r="B1029" s="6" t="s">
        <v>33</v>
      </c>
      <c r="C1029" s="7" t="s">
        <v>26</v>
      </c>
      <c r="D1029" s="7"/>
      <c r="E1029" s="7"/>
      <c r="F1029" s="7">
        <f t="shared" si="176"/>
        <v>1335</v>
      </c>
      <c r="G1029" s="8"/>
      <c r="H1029" s="7">
        <f t="shared" si="175"/>
        <v>0</v>
      </c>
      <c r="I1029" s="7"/>
      <c r="J1029" s="7"/>
      <c r="K1029" s="7"/>
      <c r="L1029" s="7"/>
      <c r="M1029" s="7">
        <v>90</v>
      </c>
      <c r="N1029" s="7"/>
      <c r="O1029" s="7"/>
      <c r="P1029" s="7"/>
      <c r="Q1029" s="7"/>
      <c r="R1029" s="7"/>
      <c r="S1029" s="9">
        <f t="shared" si="170"/>
        <v>1425</v>
      </c>
      <c r="T1029" s="10">
        <f t="shared" si="171"/>
        <v>0</v>
      </c>
      <c r="U1029" s="10"/>
    </row>
    <row r="1030" spans="1:25">
      <c r="A1030" s="6"/>
      <c r="B1030" s="11" t="s">
        <v>34</v>
      </c>
      <c r="C1030" s="7" t="s">
        <v>26</v>
      </c>
      <c r="D1030" s="7"/>
      <c r="E1030" s="7"/>
      <c r="F1030" s="7">
        <f t="shared" si="176"/>
        <v>17</v>
      </c>
      <c r="G1030" s="8"/>
      <c r="H1030" s="7">
        <f t="shared" si="175"/>
        <v>0</v>
      </c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9">
        <f t="shared" si="170"/>
        <v>17</v>
      </c>
      <c r="T1030" s="10">
        <f t="shared" si="171"/>
        <v>0</v>
      </c>
      <c r="U1030" s="10"/>
    </row>
    <row r="1031" spans="1:25">
      <c r="A1031" s="6"/>
      <c r="B1031" s="11" t="s">
        <v>35</v>
      </c>
      <c r="C1031" s="7" t="s">
        <v>26</v>
      </c>
      <c r="D1031" s="7"/>
      <c r="E1031" s="7"/>
      <c r="F1031" s="7">
        <f t="shared" si="176"/>
        <v>120</v>
      </c>
      <c r="G1031" s="8"/>
      <c r="H1031" s="7">
        <f t="shared" si="175"/>
        <v>0</v>
      </c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9">
        <f t="shared" si="170"/>
        <v>120</v>
      </c>
      <c r="T1031" s="10">
        <f t="shared" si="171"/>
        <v>0</v>
      </c>
      <c r="U1031" s="10"/>
    </row>
    <row r="1032" spans="1:25">
      <c r="A1032" s="6"/>
      <c r="B1032" s="11" t="s">
        <v>36</v>
      </c>
      <c r="C1032" s="7" t="s">
        <v>26</v>
      </c>
      <c r="D1032" s="7"/>
      <c r="E1032" s="7"/>
      <c r="F1032" s="7">
        <f t="shared" si="176"/>
        <v>0</v>
      </c>
      <c r="G1032" s="8"/>
      <c r="H1032" s="7">
        <f t="shared" ref="H1032:H1063" si="181">T947</f>
        <v>0</v>
      </c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9">
        <f t="shared" si="170"/>
        <v>0</v>
      </c>
      <c r="T1032" s="10">
        <f t="shared" si="171"/>
        <v>0</v>
      </c>
      <c r="U1032" s="10"/>
    </row>
    <row r="1033" spans="1:25">
      <c r="A1033" s="6"/>
      <c r="B1033" s="11" t="s">
        <v>37</v>
      </c>
      <c r="C1033" s="7" t="s">
        <v>26</v>
      </c>
      <c r="D1033" s="7"/>
      <c r="E1033" s="7"/>
      <c r="F1033" s="7">
        <f t="shared" si="176"/>
        <v>24</v>
      </c>
      <c r="G1033" s="8"/>
      <c r="H1033" s="7">
        <f t="shared" si="181"/>
        <v>0</v>
      </c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9">
        <f t="shared" si="170"/>
        <v>24</v>
      </c>
      <c r="T1033" s="10">
        <f t="shared" si="171"/>
        <v>0</v>
      </c>
      <c r="U1033" s="10"/>
    </row>
    <row r="1034" spans="1:25">
      <c r="A1034" s="6"/>
      <c r="B1034" s="11" t="s">
        <v>38</v>
      </c>
      <c r="C1034" s="7" t="s">
        <v>26</v>
      </c>
      <c r="D1034" s="7"/>
      <c r="E1034" s="7"/>
      <c r="F1034" s="7">
        <f t="shared" ref="F1034:F1045" si="182">S949</f>
        <v>0</v>
      </c>
      <c r="G1034" s="8"/>
      <c r="H1034" s="7">
        <f t="shared" si="181"/>
        <v>0</v>
      </c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9">
        <f t="shared" si="170"/>
        <v>0</v>
      </c>
      <c r="T1034" s="10">
        <f t="shared" si="171"/>
        <v>0</v>
      </c>
      <c r="U1034" s="10"/>
    </row>
    <row r="1035" spans="1:25">
      <c r="A1035" s="6"/>
      <c r="B1035" s="11" t="s">
        <v>39</v>
      </c>
      <c r="C1035" s="7" t="s">
        <v>26</v>
      </c>
      <c r="D1035" s="7"/>
      <c r="E1035" s="7"/>
      <c r="F1035" s="7">
        <f t="shared" si="182"/>
        <v>1700</v>
      </c>
      <c r="G1035" s="8"/>
      <c r="H1035" s="7">
        <f t="shared" si="181"/>
        <v>0</v>
      </c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9">
        <f t="shared" si="170"/>
        <v>1700</v>
      </c>
      <c r="T1035" s="10">
        <f t="shared" si="171"/>
        <v>0</v>
      </c>
      <c r="U1035" s="10"/>
    </row>
    <row r="1036" spans="1:25">
      <c r="A1036" s="6"/>
      <c r="B1036" s="11" t="s">
        <v>40</v>
      </c>
      <c r="C1036" s="7" t="s">
        <v>41</v>
      </c>
      <c r="D1036" s="7"/>
      <c r="E1036" s="7"/>
      <c r="F1036" s="7">
        <f t="shared" si="182"/>
        <v>0</v>
      </c>
      <c r="G1036" s="8"/>
      <c r="H1036" s="7">
        <f t="shared" si="181"/>
        <v>0</v>
      </c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9">
        <f t="shared" si="170"/>
        <v>0</v>
      </c>
      <c r="T1036" s="10">
        <f t="shared" si="171"/>
        <v>0</v>
      </c>
      <c r="U1036" s="10"/>
    </row>
    <row r="1037" spans="1:25">
      <c r="A1037" s="6"/>
      <c r="B1037" s="11" t="s">
        <v>42</v>
      </c>
      <c r="C1037" s="7" t="s">
        <v>41</v>
      </c>
      <c r="D1037" s="7"/>
      <c r="E1037" s="7"/>
      <c r="F1037" s="7">
        <f t="shared" si="182"/>
        <v>53</v>
      </c>
      <c r="G1037" s="8"/>
      <c r="H1037" s="7">
        <f t="shared" si="181"/>
        <v>0</v>
      </c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9">
        <f t="shared" si="170"/>
        <v>53</v>
      </c>
      <c r="T1037" s="10">
        <f t="shared" si="171"/>
        <v>0</v>
      </c>
      <c r="U1037" s="10"/>
    </row>
    <row r="1038" spans="1:25">
      <c r="A1038" s="6"/>
      <c r="B1038" s="11" t="s">
        <v>43</v>
      </c>
      <c r="C1038" s="7" t="s">
        <v>41</v>
      </c>
      <c r="D1038" s="7"/>
      <c r="E1038" s="7"/>
      <c r="F1038" s="7">
        <f t="shared" si="182"/>
        <v>0</v>
      </c>
      <c r="G1038" s="8"/>
      <c r="H1038" s="7">
        <f t="shared" si="181"/>
        <v>0</v>
      </c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9">
        <f t="shared" si="170"/>
        <v>0</v>
      </c>
      <c r="T1038" s="10">
        <f t="shared" si="171"/>
        <v>0</v>
      </c>
      <c r="U1038" s="10"/>
    </row>
    <row r="1039" spans="1:25">
      <c r="A1039" s="6"/>
      <c r="B1039" s="11" t="s">
        <v>44</v>
      </c>
      <c r="C1039" s="7" t="s">
        <v>41</v>
      </c>
      <c r="D1039" s="7"/>
      <c r="E1039" s="7"/>
      <c r="F1039" s="7">
        <f t="shared" si="182"/>
        <v>75</v>
      </c>
      <c r="G1039" s="8"/>
      <c r="H1039" s="7">
        <f t="shared" si="181"/>
        <v>0</v>
      </c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9">
        <f t="shared" ref="S1039:S1102" si="183">F1039+G1039-J1039-K1039-L1039+M1039+O1039-P1039-R1039</f>
        <v>75</v>
      </c>
      <c r="T1039" s="10">
        <f t="shared" ref="T1039:T1102" si="184">H1039+I1039+N1039+R1039-Q1039</f>
        <v>0</v>
      </c>
      <c r="U1039" s="10"/>
    </row>
    <row r="1040" spans="1:25">
      <c r="A1040" s="6"/>
      <c r="B1040" s="11" t="s">
        <v>45</v>
      </c>
      <c r="C1040" s="7" t="s">
        <v>41</v>
      </c>
      <c r="D1040" s="7"/>
      <c r="E1040" s="7"/>
      <c r="F1040" s="7">
        <f t="shared" si="182"/>
        <v>0</v>
      </c>
      <c r="G1040" s="8"/>
      <c r="H1040" s="7">
        <f t="shared" si="181"/>
        <v>0</v>
      </c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9">
        <f t="shared" si="183"/>
        <v>0</v>
      </c>
      <c r="T1040" s="10">
        <f t="shared" si="184"/>
        <v>0</v>
      </c>
      <c r="U1040" s="10"/>
    </row>
    <row r="1041" spans="1:21">
      <c r="A1041" s="6"/>
      <c r="B1041" s="11" t="s">
        <v>46</v>
      </c>
      <c r="C1041" s="7" t="s">
        <v>41</v>
      </c>
      <c r="D1041" s="7"/>
      <c r="E1041" s="7"/>
      <c r="F1041" s="7">
        <f t="shared" si="182"/>
        <v>17</v>
      </c>
      <c r="G1041" s="8"/>
      <c r="H1041" s="7">
        <f t="shared" si="181"/>
        <v>0</v>
      </c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9">
        <f t="shared" si="183"/>
        <v>17</v>
      </c>
      <c r="T1041" s="10">
        <f t="shared" si="184"/>
        <v>0</v>
      </c>
      <c r="U1041" s="10"/>
    </row>
    <row r="1042" spans="1:21">
      <c r="A1042" s="6"/>
      <c r="B1042" s="11" t="s">
        <v>47</v>
      </c>
      <c r="C1042" s="7" t="s">
        <v>26</v>
      </c>
      <c r="D1042" s="7"/>
      <c r="E1042" s="7"/>
      <c r="F1042" s="7">
        <f t="shared" ref="F1042:F1065" si="185">S957</f>
        <v>0</v>
      </c>
      <c r="G1042" s="8"/>
      <c r="H1042" s="7">
        <f t="shared" si="181"/>
        <v>0</v>
      </c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9">
        <f t="shared" si="183"/>
        <v>0</v>
      </c>
      <c r="T1042" s="10">
        <f t="shared" si="184"/>
        <v>0</v>
      </c>
      <c r="U1042" s="10"/>
    </row>
    <row r="1043" spans="1:21">
      <c r="A1043" s="6"/>
      <c r="B1043" s="11" t="s">
        <v>48</v>
      </c>
      <c r="C1043" s="7" t="s">
        <v>26</v>
      </c>
      <c r="D1043" s="7"/>
      <c r="E1043" s="7"/>
      <c r="F1043" s="7">
        <f t="shared" si="185"/>
        <v>32419</v>
      </c>
      <c r="G1043" s="8"/>
      <c r="H1043" s="7">
        <f t="shared" si="181"/>
        <v>0</v>
      </c>
      <c r="I1043" s="7"/>
      <c r="J1043" s="7">
        <v>3090</v>
      </c>
      <c r="K1043" s="7"/>
      <c r="L1043" s="7"/>
      <c r="M1043" s="7">
        <v>5</v>
      </c>
      <c r="N1043" s="7"/>
      <c r="O1043" s="7"/>
      <c r="P1043" s="7"/>
      <c r="Q1043" s="7"/>
      <c r="R1043" s="7"/>
      <c r="S1043" s="9">
        <f t="shared" si="183"/>
        <v>29334</v>
      </c>
      <c r="T1043" s="10">
        <f t="shared" si="184"/>
        <v>0</v>
      </c>
      <c r="U1043" s="10" t="s">
        <v>117</v>
      </c>
    </row>
    <row r="1044" spans="1:21">
      <c r="A1044" s="6"/>
      <c r="B1044" s="11" t="s">
        <v>50</v>
      </c>
      <c r="C1044" s="7" t="s">
        <v>26</v>
      </c>
      <c r="D1044" s="7"/>
      <c r="E1044" s="7"/>
      <c r="F1044" s="7">
        <f t="shared" si="185"/>
        <v>0</v>
      </c>
      <c r="G1044" s="8"/>
      <c r="H1044" s="7">
        <f t="shared" si="181"/>
        <v>0</v>
      </c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9">
        <f t="shared" si="183"/>
        <v>0</v>
      </c>
      <c r="T1044" s="10">
        <f t="shared" si="184"/>
        <v>0</v>
      </c>
      <c r="U1044" s="10"/>
    </row>
    <row r="1045" spans="1:21">
      <c r="A1045" s="6"/>
      <c r="B1045" s="11" t="s">
        <v>51</v>
      </c>
      <c r="C1045" s="7" t="s">
        <v>26</v>
      </c>
      <c r="D1045" s="7"/>
      <c r="E1045" s="7"/>
      <c r="F1045" s="7">
        <f t="shared" si="185"/>
        <v>0</v>
      </c>
      <c r="G1045" s="8"/>
      <c r="H1045" s="7">
        <f t="shared" si="181"/>
        <v>0</v>
      </c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9">
        <f t="shared" si="183"/>
        <v>0</v>
      </c>
      <c r="T1045" s="10">
        <f t="shared" si="184"/>
        <v>0</v>
      </c>
      <c r="U1045" s="10"/>
    </row>
    <row r="1046" spans="1:21">
      <c r="A1046" s="6"/>
      <c r="B1046" s="11" t="s">
        <v>52</v>
      </c>
      <c r="C1046" s="7" t="s">
        <v>26</v>
      </c>
      <c r="D1046" s="7"/>
      <c r="E1046" s="7"/>
      <c r="F1046" s="7">
        <f t="shared" si="185"/>
        <v>8720</v>
      </c>
      <c r="G1046" s="8"/>
      <c r="H1046" s="7">
        <f t="shared" si="181"/>
        <v>0</v>
      </c>
      <c r="I1046" s="7"/>
      <c r="J1046" s="7">
        <v>960</v>
      </c>
      <c r="K1046" s="7"/>
      <c r="L1046" s="7"/>
      <c r="M1046" s="7"/>
      <c r="N1046" s="7"/>
      <c r="O1046" s="7"/>
      <c r="P1046" s="7"/>
      <c r="Q1046" s="7"/>
      <c r="R1046" s="7"/>
      <c r="S1046" s="9">
        <f t="shared" si="183"/>
        <v>7760</v>
      </c>
      <c r="T1046" s="10">
        <f t="shared" si="184"/>
        <v>0</v>
      </c>
      <c r="U1046" s="10"/>
    </row>
    <row r="1047" spans="1:21">
      <c r="A1047" s="6"/>
      <c r="B1047" s="11" t="s">
        <v>53</v>
      </c>
      <c r="C1047" s="7" t="s">
        <v>54</v>
      </c>
      <c r="D1047" s="7"/>
      <c r="E1047" s="7"/>
      <c r="F1047" s="7">
        <f t="shared" si="185"/>
        <v>0</v>
      </c>
      <c r="G1047" s="8"/>
      <c r="H1047" s="7">
        <f t="shared" si="181"/>
        <v>0</v>
      </c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9">
        <f t="shared" si="183"/>
        <v>0</v>
      </c>
      <c r="T1047" s="10">
        <f t="shared" si="184"/>
        <v>0</v>
      </c>
      <c r="U1047" s="10"/>
    </row>
    <row r="1048" spans="1:21">
      <c r="A1048" s="6"/>
      <c r="B1048" s="11" t="s">
        <v>55</v>
      </c>
      <c r="C1048" s="7" t="s">
        <v>54</v>
      </c>
      <c r="D1048" s="7"/>
      <c r="E1048" s="7"/>
      <c r="F1048" s="7">
        <f t="shared" si="185"/>
        <v>15</v>
      </c>
      <c r="G1048" s="8"/>
      <c r="H1048" s="7">
        <f t="shared" si="181"/>
        <v>0</v>
      </c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9">
        <f t="shared" si="183"/>
        <v>15</v>
      </c>
      <c r="T1048" s="10">
        <f t="shared" si="184"/>
        <v>0</v>
      </c>
      <c r="U1048" s="10"/>
    </row>
    <row r="1049" spans="1:21">
      <c r="A1049" s="6"/>
      <c r="B1049" s="11" t="s">
        <v>56</v>
      </c>
      <c r="C1049" s="7" t="s">
        <v>54</v>
      </c>
      <c r="D1049" s="7"/>
      <c r="E1049" s="7"/>
      <c r="F1049" s="7">
        <f t="shared" si="185"/>
        <v>3046</v>
      </c>
      <c r="G1049" s="8"/>
      <c r="H1049" s="7">
        <f t="shared" si="181"/>
        <v>0</v>
      </c>
      <c r="I1049" s="7"/>
      <c r="J1049" s="7">
        <v>120</v>
      </c>
      <c r="K1049" s="7">
        <v>90</v>
      </c>
      <c r="L1049" s="7"/>
      <c r="M1049" s="7"/>
      <c r="N1049" s="7"/>
      <c r="O1049" s="7"/>
      <c r="P1049" s="7"/>
      <c r="Q1049" s="7"/>
      <c r="R1049" s="7"/>
      <c r="S1049" s="9">
        <f t="shared" si="183"/>
        <v>2836</v>
      </c>
      <c r="T1049" s="10">
        <f t="shared" si="184"/>
        <v>0</v>
      </c>
      <c r="U1049" s="10"/>
    </row>
    <row r="1050" spans="1:21">
      <c r="A1050" s="6"/>
      <c r="B1050" s="11" t="s">
        <v>57</v>
      </c>
      <c r="C1050" s="7" t="s">
        <v>54</v>
      </c>
      <c r="D1050" s="7"/>
      <c r="E1050" s="7"/>
      <c r="F1050" s="7">
        <f t="shared" si="185"/>
        <v>431</v>
      </c>
      <c r="G1050" s="8"/>
      <c r="H1050" s="7">
        <f t="shared" si="181"/>
        <v>0</v>
      </c>
      <c r="I1050" s="7"/>
      <c r="J1050" s="7">
        <v>142</v>
      </c>
      <c r="K1050" s="7"/>
      <c r="L1050" s="7"/>
      <c r="M1050" s="7">
        <v>26</v>
      </c>
      <c r="N1050" s="7"/>
      <c r="O1050" s="7"/>
      <c r="P1050" s="7"/>
      <c r="Q1050" s="7"/>
      <c r="R1050" s="7"/>
      <c r="S1050" s="9">
        <f t="shared" si="183"/>
        <v>315</v>
      </c>
      <c r="T1050" s="10">
        <f t="shared" si="184"/>
        <v>0</v>
      </c>
      <c r="U1050" s="10"/>
    </row>
    <row r="1051" spans="1:21">
      <c r="A1051" s="6"/>
      <c r="B1051" s="11" t="s">
        <v>58</v>
      </c>
      <c r="C1051" s="7" t="s">
        <v>54</v>
      </c>
      <c r="D1051" s="7"/>
      <c r="E1051" s="7"/>
      <c r="F1051" s="7">
        <f t="shared" si="185"/>
        <v>0</v>
      </c>
      <c r="G1051" s="8"/>
      <c r="H1051" s="7">
        <f t="shared" si="181"/>
        <v>0</v>
      </c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9">
        <f t="shared" si="183"/>
        <v>0</v>
      </c>
      <c r="T1051" s="10">
        <f t="shared" si="184"/>
        <v>0</v>
      </c>
      <c r="U1051" s="10"/>
    </row>
    <row r="1052" spans="1:21">
      <c r="A1052" s="6"/>
      <c r="B1052" s="11" t="s">
        <v>59</v>
      </c>
      <c r="C1052" s="7" t="s">
        <v>54</v>
      </c>
      <c r="D1052" s="7"/>
      <c r="E1052" s="7"/>
      <c r="F1052" s="7">
        <f t="shared" si="185"/>
        <v>19</v>
      </c>
      <c r="G1052" s="8"/>
      <c r="H1052" s="7">
        <f t="shared" si="181"/>
        <v>0</v>
      </c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9">
        <f t="shared" si="183"/>
        <v>19</v>
      </c>
      <c r="T1052" s="10">
        <f t="shared" si="184"/>
        <v>0</v>
      </c>
      <c r="U1052" s="10"/>
    </row>
    <row r="1053" spans="1:21">
      <c r="A1053" s="6"/>
      <c r="B1053" s="11" t="s">
        <v>60</v>
      </c>
      <c r="C1053" s="7" t="s">
        <v>61</v>
      </c>
      <c r="D1053" s="7"/>
      <c r="E1053" s="7"/>
      <c r="F1053" s="7">
        <f t="shared" si="185"/>
        <v>0</v>
      </c>
      <c r="G1053" s="8"/>
      <c r="H1053" s="7">
        <f t="shared" si="181"/>
        <v>0</v>
      </c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9">
        <f t="shared" si="183"/>
        <v>0</v>
      </c>
      <c r="T1053" s="10">
        <f t="shared" si="184"/>
        <v>0</v>
      </c>
      <c r="U1053" s="10"/>
    </row>
    <row r="1054" spans="1:21">
      <c r="A1054" s="6"/>
      <c r="B1054" s="11" t="s">
        <v>62</v>
      </c>
      <c r="C1054" s="7" t="s">
        <v>61</v>
      </c>
      <c r="D1054" s="7"/>
      <c r="E1054" s="7"/>
      <c r="F1054" s="7">
        <f t="shared" si="185"/>
        <v>11</v>
      </c>
      <c r="G1054" s="8"/>
      <c r="H1054" s="7">
        <f t="shared" si="181"/>
        <v>0</v>
      </c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9">
        <f t="shared" si="183"/>
        <v>11</v>
      </c>
      <c r="T1054" s="10">
        <f t="shared" si="184"/>
        <v>0</v>
      </c>
      <c r="U1054" s="10"/>
    </row>
    <row r="1055" spans="1:21">
      <c r="A1055" s="6"/>
      <c r="B1055" s="10" t="s">
        <v>63</v>
      </c>
      <c r="C1055" s="10" t="s">
        <v>41</v>
      </c>
      <c r="D1055" s="7"/>
      <c r="E1055" s="7"/>
      <c r="F1055" s="7">
        <f t="shared" si="185"/>
        <v>0</v>
      </c>
      <c r="G1055" s="8"/>
      <c r="H1055" s="7">
        <f t="shared" si="181"/>
        <v>0</v>
      </c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9">
        <f t="shared" si="183"/>
        <v>0</v>
      </c>
      <c r="T1055" s="10">
        <f t="shared" si="184"/>
        <v>0</v>
      </c>
      <c r="U1055" s="10"/>
    </row>
    <row r="1056" spans="1:21">
      <c r="A1056" s="6"/>
      <c r="B1056" s="10" t="s">
        <v>64</v>
      </c>
      <c r="C1056" s="10" t="s">
        <v>41</v>
      </c>
      <c r="D1056" s="7"/>
      <c r="E1056" s="7"/>
      <c r="F1056" s="7">
        <f t="shared" si="185"/>
        <v>5</v>
      </c>
      <c r="G1056" s="8"/>
      <c r="H1056" s="7">
        <f t="shared" si="181"/>
        <v>0</v>
      </c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9">
        <f t="shared" si="183"/>
        <v>5</v>
      </c>
      <c r="T1056" s="10">
        <f t="shared" si="184"/>
        <v>0</v>
      </c>
      <c r="U1056" s="10"/>
    </row>
    <row r="1057" spans="1:21">
      <c r="A1057" s="6"/>
      <c r="B1057" s="11" t="s">
        <v>65</v>
      </c>
      <c r="C1057" s="7" t="s">
        <v>26</v>
      </c>
      <c r="D1057" s="7"/>
      <c r="E1057" s="7"/>
      <c r="F1057" s="7">
        <f t="shared" si="185"/>
        <v>0</v>
      </c>
      <c r="G1057" s="8"/>
      <c r="H1057" s="7">
        <f t="shared" si="181"/>
        <v>0</v>
      </c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9">
        <f t="shared" si="183"/>
        <v>0</v>
      </c>
      <c r="T1057" s="10">
        <f t="shared" si="184"/>
        <v>0</v>
      </c>
      <c r="U1057" s="10"/>
    </row>
    <row r="1058" spans="1:21">
      <c r="A1058" s="6"/>
      <c r="B1058" s="11" t="s">
        <v>66</v>
      </c>
      <c r="C1058" s="7" t="s">
        <v>26</v>
      </c>
      <c r="D1058" s="7"/>
      <c r="E1058" s="7"/>
      <c r="F1058" s="7">
        <f t="shared" si="185"/>
        <v>71</v>
      </c>
      <c r="G1058" s="8"/>
      <c r="H1058" s="7">
        <f t="shared" si="181"/>
        <v>0</v>
      </c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9">
        <f t="shared" si="183"/>
        <v>71</v>
      </c>
      <c r="T1058" s="10">
        <f t="shared" si="184"/>
        <v>0</v>
      </c>
      <c r="U1058" s="10"/>
    </row>
    <row r="1059" spans="1:21">
      <c r="A1059" s="6"/>
      <c r="B1059" s="11" t="s">
        <v>67</v>
      </c>
      <c r="C1059" s="7" t="s">
        <v>26</v>
      </c>
      <c r="D1059" s="7"/>
      <c r="E1059" s="7"/>
      <c r="F1059" s="7">
        <f t="shared" si="185"/>
        <v>0</v>
      </c>
      <c r="G1059" s="8"/>
      <c r="H1059" s="7">
        <f t="shared" si="181"/>
        <v>0</v>
      </c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9">
        <f t="shared" si="183"/>
        <v>0</v>
      </c>
      <c r="T1059" s="10">
        <f t="shared" si="184"/>
        <v>0</v>
      </c>
      <c r="U1059" s="10"/>
    </row>
    <row r="1060" spans="1:21">
      <c r="A1060" s="6"/>
      <c r="B1060" s="11" t="s">
        <v>68</v>
      </c>
      <c r="C1060" s="7" t="s">
        <v>26</v>
      </c>
      <c r="D1060" s="7"/>
      <c r="E1060" s="7"/>
      <c r="F1060" s="7">
        <f t="shared" si="185"/>
        <v>7</v>
      </c>
      <c r="G1060" s="8"/>
      <c r="H1060" s="7">
        <f t="shared" si="181"/>
        <v>0</v>
      </c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9">
        <f t="shared" si="183"/>
        <v>7</v>
      </c>
      <c r="T1060" s="10">
        <f t="shared" si="184"/>
        <v>0</v>
      </c>
      <c r="U1060" s="10"/>
    </row>
    <row r="1061" spans="1:21">
      <c r="A1061" s="6"/>
      <c r="B1061" s="11" t="s">
        <v>69</v>
      </c>
      <c r="C1061" s="7" t="s">
        <v>41</v>
      </c>
      <c r="D1061" s="7"/>
      <c r="E1061" s="7"/>
      <c r="F1061" s="7">
        <f t="shared" ref="F1061:F1075" si="186">S976</f>
        <v>0</v>
      </c>
      <c r="G1061" s="8"/>
      <c r="H1061" s="7">
        <f t="shared" si="181"/>
        <v>0</v>
      </c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9">
        <f t="shared" si="183"/>
        <v>0</v>
      </c>
      <c r="T1061" s="10">
        <f t="shared" si="184"/>
        <v>0</v>
      </c>
      <c r="U1061" s="10"/>
    </row>
    <row r="1062" spans="1:21">
      <c r="A1062" s="6"/>
      <c r="B1062" s="11" t="s">
        <v>70</v>
      </c>
      <c r="C1062" s="7" t="s">
        <v>41</v>
      </c>
      <c r="D1062" s="7"/>
      <c r="E1062" s="7"/>
      <c r="F1062" s="7">
        <f t="shared" si="186"/>
        <v>13</v>
      </c>
      <c r="G1062" s="8"/>
      <c r="H1062" s="7">
        <f t="shared" si="181"/>
        <v>0</v>
      </c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9">
        <f t="shared" si="183"/>
        <v>13</v>
      </c>
      <c r="T1062" s="10">
        <f t="shared" si="184"/>
        <v>0</v>
      </c>
      <c r="U1062" s="10"/>
    </row>
    <row r="1063" spans="1:21">
      <c r="A1063" s="6"/>
      <c r="B1063" s="11" t="s">
        <v>71</v>
      </c>
      <c r="C1063" s="7" t="s">
        <v>61</v>
      </c>
      <c r="D1063" s="7"/>
      <c r="E1063" s="7"/>
      <c r="F1063" s="7">
        <f t="shared" si="186"/>
        <v>0</v>
      </c>
      <c r="G1063" s="8"/>
      <c r="H1063" s="7">
        <f t="shared" si="181"/>
        <v>0</v>
      </c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9">
        <f t="shared" si="183"/>
        <v>0</v>
      </c>
      <c r="T1063" s="10">
        <f t="shared" si="184"/>
        <v>0</v>
      </c>
      <c r="U1063" s="10"/>
    </row>
    <row r="1064" spans="1:21">
      <c r="A1064" s="6"/>
      <c r="B1064" s="11" t="s">
        <v>72</v>
      </c>
      <c r="C1064" s="7" t="s">
        <v>61</v>
      </c>
      <c r="D1064" s="7"/>
      <c r="E1064" s="7"/>
      <c r="F1064" s="7">
        <f t="shared" si="186"/>
        <v>8</v>
      </c>
      <c r="G1064" s="8"/>
      <c r="H1064" s="7">
        <f t="shared" ref="H1064:H1123" si="187">T979</f>
        <v>0</v>
      </c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9">
        <f t="shared" si="183"/>
        <v>8</v>
      </c>
      <c r="T1064" s="10">
        <f t="shared" si="184"/>
        <v>0</v>
      </c>
      <c r="U1064" s="10"/>
    </row>
    <row r="1065" spans="1:21">
      <c r="A1065" s="6"/>
      <c r="B1065" s="11" t="s">
        <v>73</v>
      </c>
      <c r="C1065" s="7" t="s">
        <v>26</v>
      </c>
      <c r="D1065" s="7"/>
      <c r="E1065" s="7"/>
      <c r="F1065" s="7">
        <f t="shared" si="186"/>
        <v>0</v>
      </c>
      <c r="G1065" s="8"/>
      <c r="H1065" s="7">
        <f t="shared" si="187"/>
        <v>0</v>
      </c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9">
        <f t="shared" si="183"/>
        <v>0</v>
      </c>
      <c r="T1065" s="10">
        <f t="shared" si="184"/>
        <v>0</v>
      </c>
      <c r="U1065" s="10"/>
    </row>
    <row r="1066" spans="1:21">
      <c r="A1066" s="6"/>
      <c r="B1066" s="11" t="s">
        <v>74</v>
      </c>
      <c r="C1066" s="7" t="s">
        <v>26</v>
      </c>
      <c r="D1066" s="7"/>
      <c r="E1066" s="7"/>
      <c r="F1066" s="7">
        <f t="shared" si="186"/>
        <v>22</v>
      </c>
      <c r="G1066" s="8"/>
      <c r="H1066" s="7">
        <f t="shared" si="187"/>
        <v>0</v>
      </c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9">
        <f t="shared" si="183"/>
        <v>22</v>
      </c>
      <c r="T1066" s="10">
        <f t="shared" si="184"/>
        <v>0</v>
      </c>
      <c r="U1066" s="10"/>
    </row>
    <row r="1067" spans="1:21">
      <c r="A1067" s="6"/>
      <c r="B1067" s="11" t="s">
        <v>75</v>
      </c>
      <c r="C1067" s="7" t="s">
        <v>26</v>
      </c>
      <c r="D1067" s="7"/>
      <c r="E1067" s="7"/>
      <c r="F1067" s="7">
        <f t="shared" si="186"/>
        <v>0</v>
      </c>
      <c r="G1067" s="8"/>
      <c r="H1067" s="7">
        <f t="shared" si="187"/>
        <v>0</v>
      </c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9">
        <f t="shared" si="183"/>
        <v>0</v>
      </c>
      <c r="T1067" s="10">
        <f t="shared" si="184"/>
        <v>0</v>
      </c>
      <c r="U1067" s="10"/>
    </row>
    <row r="1068" spans="1:21">
      <c r="A1068" s="6"/>
      <c r="B1068" s="11" t="s">
        <v>76</v>
      </c>
      <c r="C1068" s="7" t="s">
        <v>26</v>
      </c>
      <c r="D1068" s="7"/>
      <c r="E1068" s="7"/>
      <c r="F1068" s="7">
        <f t="shared" si="186"/>
        <v>20</v>
      </c>
      <c r="G1068" s="8"/>
      <c r="H1068" s="7">
        <f t="shared" si="187"/>
        <v>0</v>
      </c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9">
        <f t="shared" si="183"/>
        <v>20</v>
      </c>
      <c r="T1068" s="10">
        <f t="shared" si="184"/>
        <v>0</v>
      </c>
      <c r="U1068" s="10"/>
    </row>
    <row r="1069" spans="1:21">
      <c r="A1069" s="6"/>
      <c r="B1069" s="11" t="s">
        <v>77</v>
      </c>
      <c r="C1069" s="7" t="s">
        <v>61</v>
      </c>
      <c r="D1069" s="7"/>
      <c r="E1069" s="7"/>
      <c r="F1069" s="7">
        <f t="shared" si="186"/>
        <v>0</v>
      </c>
      <c r="G1069" s="8"/>
      <c r="H1069" s="7">
        <f t="shared" si="187"/>
        <v>0</v>
      </c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9">
        <f t="shared" si="183"/>
        <v>0</v>
      </c>
      <c r="T1069" s="10">
        <f t="shared" si="184"/>
        <v>0</v>
      </c>
      <c r="U1069" s="10"/>
    </row>
    <row r="1070" spans="1:21">
      <c r="A1070" s="6"/>
      <c r="B1070" s="11" t="s">
        <v>78</v>
      </c>
      <c r="C1070" s="7" t="s">
        <v>61</v>
      </c>
      <c r="D1070" s="7"/>
      <c r="E1070" s="7"/>
      <c r="F1070" s="7">
        <f t="shared" si="186"/>
        <v>69</v>
      </c>
      <c r="G1070" s="8"/>
      <c r="H1070" s="7">
        <f t="shared" si="187"/>
        <v>0</v>
      </c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9">
        <f t="shared" si="183"/>
        <v>69</v>
      </c>
      <c r="T1070" s="10">
        <f t="shared" si="184"/>
        <v>0</v>
      </c>
      <c r="U1070" s="10"/>
    </row>
    <row r="1071" spans="1:21">
      <c r="A1071" s="6"/>
      <c r="B1071" s="11" t="s">
        <v>105</v>
      </c>
      <c r="C1071" s="7" t="s">
        <v>26</v>
      </c>
      <c r="D1071" s="7"/>
      <c r="E1071" s="7"/>
      <c r="F1071" s="7">
        <f t="shared" si="186"/>
        <v>650</v>
      </c>
      <c r="G1071" s="8"/>
      <c r="H1071" s="7">
        <f t="shared" si="187"/>
        <v>0</v>
      </c>
      <c r="I1071" s="7"/>
      <c r="J1071" s="7">
        <v>120</v>
      </c>
      <c r="K1071" s="7"/>
      <c r="L1071" s="7"/>
      <c r="M1071" s="7"/>
      <c r="N1071" s="7"/>
      <c r="O1071" s="7"/>
      <c r="P1071" s="7"/>
      <c r="Q1071" s="7"/>
      <c r="R1071" s="7"/>
      <c r="S1071" s="9">
        <f t="shared" si="183"/>
        <v>530</v>
      </c>
      <c r="T1071" s="10">
        <f t="shared" si="184"/>
        <v>0</v>
      </c>
      <c r="U1071" s="10"/>
    </row>
    <row r="1072" spans="1:21">
      <c r="A1072" s="6"/>
      <c r="B1072" s="11" t="s">
        <v>80</v>
      </c>
      <c r="C1072" s="7" t="s">
        <v>26</v>
      </c>
      <c r="D1072" s="7"/>
      <c r="E1072" s="7"/>
      <c r="F1072" s="7">
        <f t="shared" si="186"/>
        <v>663</v>
      </c>
      <c r="G1072" s="8"/>
      <c r="H1072" s="7">
        <f t="shared" si="187"/>
        <v>0</v>
      </c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9">
        <f t="shared" si="183"/>
        <v>663</v>
      </c>
      <c r="T1072" s="10">
        <f t="shared" si="184"/>
        <v>0</v>
      </c>
      <c r="U1072" s="10"/>
    </row>
    <row r="1073" spans="1:21">
      <c r="A1073" s="6"/>
      <c r="B1073" s="11" t="s">
        <v>81</v>
      </c>
      <c r="C1073" s="7" t="s">
        <v>26</v>
      </c>
      <c r="D1073" s="7"/>
      <c r="E1073" s="7"/>
      <c r="F1073" s="7">
        <f t="shared" ref="F1073:F1086" si="188">S988</f>
        <v>0</v>
      </c>
      <c r="G1073" s="8"/>
      <c r="H1073" s="7">
        <f t="shared" si="187"/>
        <v>0</v>
      </c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9">
        <f t="shared" si="183"/>
        <v>0</v>
      </c>
      <c r="T1073" s="10">
        <f t="shared" si="184"/>
        <v>0</v>
      </c>
      <c r="U1073" s="10"/>
    </row>
    <row r="1074" spans="1:21">
      <c r="A1074" s="6"/>
      <c r="B1074" s="11" t="s">
        <v>82</v>
      </c>
      <c r="C1074" s="7" t="s">
        <v>26</v>
      </c>
      <c r="D1074" s="7"/>
      <c r="E1074" s="7"/>
      <c r="F1074" s="7">
        <f t="shared" si="188"/>
        <v>14</v>
      </c>
      <c r="G1074" s="8"/>
      <c r="H1074" s="7">
        <f t="shared" si="187"/>
        <v>0</v>
      </c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9">
        <f t="shared" si="183"/>
        <v>14</v>
      </c>
      <c r="T1074" s="10">
        <f t="shared" si="184"/>
        <v>0</v>
      </c>
      <c r="U1074" s="10"/>
    </row>
    <row r="1075" spans="1:21">
      <c r="A1075" s="6"/>
      <c r="B1075" s="11" t="s">
        <v>83</v>
      </c>
      <c r="C1075" s="7" t="s">
        <v>26</v>
      </c>
      <c r="D1075" s="7"/>
      <c r="E1075" s="7"/>
      <c r="F1075" s="7">
        <f t="shared" si="188"/>
        <v>0</v>
      </c>
      <c r="G1075" s="8"/>
      <c r="H1075" s="7">
        <f t="shared" si="187"/>
        <v>0</v>
      </c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9">
        <f t="shared" si="183"/>
        <v>0</v>
      </c>
      <c r="T1075" s="10">
        <f t="shared" si="184"/>
        <v>0</v>
      </c>
      <c r="U1075" s="10"/>
    </row>
    <row r="1076" spans="1:21">
      <c r="A1076" s="6"/>
      <c r="B1076" s="11" t="s">
        <v>84</v>
      </c>
      <c r="C1076" s="7" t="s">
        <v>26</v>
      </c>
      <c r="D1076" s="7"/>
      <c r="E1076" s="7"/>
      <c r="F1076" s="7">
        <f t="shared" si="188"/>
        <v>28</v>
      </c>
      <c r="G1076" s="8"/>
      <c r="H1076" s="7">
        <f t="shared" si="187"/>
        <v>0</v>
      </c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9">
        <f t="shared" si="183"/>
        <v>28</v>
      </c>
      <c r="T1076" s="10">
        <f t="shared" si="184"/>
        <v>0</v>
      </c>
      <c r="U1076" s="10"/>
    </row>
    <row r="1077" spans="1:21">
      <c r="A1077" s="6"/>
      <c r="B1077" s="11" t="s">
        <v>85</v>
      </c>
      <c r="C1077" s="7" t="s">
        <v>61</v>
      </c>
      <c r="D1077" s="7"/>
      <c r="E1077" s="7"/>
      <c r="F1077" s="7">
        <f t="shared" si="188"/>
        <v>0</v>
      </c>
      <c r="G1077" s="8"/>
      <c r="H1077" s="7">
        <f t="shared" si="187"/>
        <v>0</v>
      </c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9">
        <f t="shared" si="183"/>
        <v>0</v>
      </c>
      <c r="T1077" s="10">
        <f t="shared" si="184"/>
        <v>0</v>
      </c>
      <c r="U1077" s="10"/>
    </row>
    <row r="1078" spans="1:21">
      <c r="A1078" s="6"/>
      <c r="B1078" s="11" t="s">
        <v>86</v>
      </c>
      <c r="C1078" s="7" t="s">
        <v>61</v>
      </c>
      <c r="D1078" s="7"/>
      <c r="E1078" s="7"/>
      <c r="F1078" s="7">
        <f t="shared" si="188"/>
        <v>10</v>
      </c>
      <c r="G1078" s="8"/>
      <c r="H1078" s="7">
        <f t="shared" si="187"/>
        <v>0</v>
      </c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9">
        <f t="shared" si="183"/>
        <v>10</v>
      </c>
      <c r="T1078" s="10">
        <f t="shared" si="184"/>
        <v>0</v>
      </c>
      <c r="U1078" s="10"/>
    </row>
    <row r="1079" spans="1:21">
      <c r="A1079" s="6"/>
      <c r="B1079" s="11" t="s">
        <v>87</v>
      </c>
      <c r="C1079" s="7" t="s">
        <v>26</v>
      </c>
      <c r="D1079" s="7"/>
      <c r="E1079" s="7"/>
      <c r="F1079" s="7">
        <f t="shared" si="188"/>
        <v>0</v>
      </c>
      <c r="G1079" s="8"/>
      <c r="H1079" s="7">
        <f t="shared" si="187"/>
        <v>0</v>
      </c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9">
        <f t="shared" si="183"/>
        <v>0</v>
      </c>
      <c r="T1079" s="10">
        <f t="shared" si="184"/>
        <v>0</v>
      </c>
      <c r="U1079" s="10"/>
    </row>
    <row r="1080" spans="1:21">
      <c r="A1080" s="6"/>
      <c r="B1080" s="11" t="s">
        <v>88</v>
      </c>
      <c r="C1080" s="10"/>
      <c r="D1080" s="7"/>
      <c r="E1080" s="7"/>
      <c r="F1080" s="7">
        <f t="shared" si="188"/>
        <v>37</v>
      </c>
      <c r="G1080" s="8"/>
      <c r="H1080" s="7">
        <f t="shared" si="187"/>
        <v>0</v>
      </c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9">
        <f t="shared" si="183"/>
        <v>37</v>
      </c>
      <c r="T1080" s="10">
        <f t="shared" si="184"/>
        <v>0</v>
      </c>
      <c r="U1080" s="10"/>
    </row>
    <row r="1081" spans="1:21">
      <c r="A1081" s="6"/>
      <c r="B1081" s="11" t="s">
        <v>89</v>
      </c>
      <c r="C1081" s="7" t="s">
        <v>26</v>
      </c>
      <c r="D1081" s="7"/>
      <c r="E1081" s="7"/>
      <c r="F1081" s="7">
        <f t="shared" si="188"/>
        <v>858</v>
      </c>
      <c r="G1081" s="8"/>
      <c r="H1081" s="7">
        <f t="shared" si="187"/>
        <v>0</v>
      </c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9">
        <f t="shared" si="183"/>
        <v>858</v>
      </c>
      <c r="T1081" s="10">
        <f t="shared" si="184"/>
        <v>0</v>
      </c>
      <c r="U1081" s="10"/>
    </row>
    <row r="1082" spans="1:21">
      <c r="A1082" s="6"/>
      <c r="B1082" s="11" t="s">
        <v>90</v>
      </c>
      <c r="C1082" s="7" t="s">
        <v>26</v>
      </c>
      <c r="D1082" s="7"/>
      <c r="E1082" s="7"/>
      <c r="F1082" s="7">
        <f t="shared" ref="F1082:F1096" si="189">S997</f>
        <v>0</v>
      </c>
      <c r="G1082" s="8"/>
      <c r="H1082" s="7">
        <f t="shared" si="187"/>
        <v>0</v>
      </c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9">
        <f t="shared" si="183"/>
        <v>0</v>
      </c>
      <c r="T1082" s="10">
        <f t="shared" si="184"/>
        <v>0</v>
      </c>
      <c r="U1082" s="10"/>
    </row>
    <row r="1083" spans="1:21">
      <c r="A1083" s="6"/>
      <c r="B1083" s="11" t="s">
        <v>91</v>
      </c>
      <c r="C1083" s="7" t="s">
        <v>26</v>
      </c>
      <c r="D1083" s="7"/>
      <c r="E1083" s="7"/>
      <c r="F1083" s="7">
        <f t="shared" si="189"/>
        <v>138</v>
      </c>
      <c r="G1083" s="8"/>
      <c r="H1083" s="7">
        <f t="shared" si="187"/>
        <v>0</v>
      </c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9">
        <f t="shared" si="183"/>
        <v>138</v>
      </c>
      <c r="T1083" s="10">
        <f t="shared" si="184"/>
        <v>0</v>
      </c>
      <c r="U1083" s="10"/>
    </row>
    <row r="1084" spans="1:21">
      <c r="A1084" s="6"/>
      <c r="B1084" s="12" t="s">
        <v>92</v>
      </c>
      <c r="C1084" s="13" t="s">
        <v>26</v>
      </c>
      <c r="D1084" s="7"/>
      <c r="E1084" s="7"/>
      <c r="F1084" s="7">
        <f t="shared" si="189"/>
        <v>1725</v>
      </c>
      <c r="G1084" s="8">
        <v>484</v>
      </c>
      <c r="H1084" s="7">
        <f t="shared" si="187"/>
        <v>0</v>
      </c>
      <c r="I1084" s="7"/>
      <c r="J1084" s="7">
        <v>180</v>
      </c>
      <c r="K1084" s="7"/>
      <c r="L1084" s="7"/>
      <c r="M1084" s="7"/>
      <c r="N1084" s="7"/>
      <c r="O1084" s="7"/>
      <c r="P1084" s="7"/>
      <c r="Q1084" s="7"/>
      <c r="R1084" s="7"/>
      <c r="S1084" s="9">
        <f t="shared" si="183"/>
        <v>2029</v>
      </c>
      <c r="T1084" s="10">
        <f t="shared" si="184"/>
        <v>0</v>
      </c>
      <c r="U1084" s="10"/>
    </row>
    <row r="1085" spans="1:21">
      <c r="A1085" s="6"/>
      <c r="B1085" s="12" t="s">
        <v>93</v>
      </c>
      <c r="C1085" s="13" t="s">
        <v>26</v>
      </c>
      <c r="D1085" s="7"/>
      <c r="E1085" s="7"/>
      <c r="F1085" s="7">
        <f t="shared" si="189"/>
        <v>2436</v>
      </c>
      <c r="G1085" s="8">
        <v>384</v>
      </c>
      <c r="H1085" s="7">
        <f t="shared" si="187"/>
        <v>0</v>
      </c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9">
        <f t="shared" si="183"/>
        <v>2820</v>
      </c>
      <c r="T1085" s="10">
        <f t="shared" si="184"/>
        <v>0</v>
      </c>
      <c r="U1085" s="10"/>
    </row>
    <row r="1086" spans="1:21">
      <c r="A1086" s="6"/>
      <c r="B1086" s="11" t="s">
        <v>94</v>
      </c>
      <c r="C1086" s="7" t="s">
        <v>41</v>
      </c>
      <c r="D1086" s="7"/>
      <c r="E1086" s="7"/>
      <c r="F1086" s="7">
        <f t="shared" si="189"/>
        <v>0</v>
      </c>
      <c r="G1086" s="8"/>
      <c r="H1086" s="7">
        <f t="shared" si="187"/>
        <v>0</v>
      </c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9">
        <f t="shared" si="183"/>
        <v>0</v>
      </c>
      <c r="T1086" s="10">
        <f t="shared" si="184"/>
        <v>0</v>
      </c>
      <c r="U1086" s="10"/>
    </row>
    <row r="1087" spans="1:21">
      <c r="A1087" s="6"/>
      <c r="B1087" s="11" t="s">
        <v>95</v>
      </c>
      <c r="C1087" s="7" t="s">
        <v>41</v>
      </c>
      <c r="D1087" s="7"/>
      <c r="E1087" s="7"/>
      <c r="F1087" s="7">
        <f t="shared" si="189"/>
        <v>39</v>
      </c>
      <c r="G1087" s="8"/>
      <c r="H1087" s="7">
        <f t="shared" si="187"/>
        <v>0</v>
      </c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9">
        <f t="shared" si="183"/>
        <v>39</v>
      </c>
      <c r="T1087" s="10">
        <f t="shared" si="184"/>
        <v>0</v>
      </c>
      <c r="U1087" s="10"/>
    </row>
    <row r="1088" spans="1:21">
      <c r="A1088" s="6"/>
      <c r="B1088" s="11" t="s">
        <v>96</v>
      </c>
      <c r="C1088" s="7" t="s">
        <v>41</v>
      </c>
      <c r="D1088" s="7"/>
      <c r="E1088" s="7"/>
      <c r="F1088" s="7">
        <f t="shared" si="189"/>
        <v>0</v>
      </c>
      <c r="G1088" s="8"/>
      <c r="H1088" s="7">
        <f t="shared" si="187"/>
        <v>0</v>
      </c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9">
        <f t="shared" si="183"/>
        <v>0</v>
      </c>
      <c r="T1088" s="10">
        <f t="shared" si="184"/>
        <v>0</v>
      </c>
      <c r="U1088" s="10"/>
    </row>
    <row r="1089" spans="1:21">
      <c r="A1089" s="6"/>
      <c r="B1089" s="11" t="s">
        <v>97</v>
      </c>
      <c r="C1089" s="7" t="s">
        <v>41</v>
      </c>
      <c r="D1089" s="7"/>
      <c r="E1089" s="7"/>
      <c r="F1089" s="7">
        <f t="shared" si="189"/>
        <v>0</v>
      </c>
      <c r="G1089" s="8"/>
      <c r="H1089" s="7">
        <f t="shared" si="187"/>
        <v>0</v>
      </c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9">
        <f t="shared" si="183"/>
        <v>0</v>
      </c>
      <c r="T1089" s="10">
        <f t="shared" si="184"/>
        <v>0</v>
      </c>
      <c r="U1089" s="10"/>
    </row>
    <row r="1090" spans="1:21">
      <c r="A1090" s="6"/>
      <c r="B1090" s="11" t="s">
        <v>98</v>
      </c>
      <c r="C1090" s="7" t="s">
        <v>26</v>
      </c>
      <c r="D1090" s="7"/>
      <c r="E1090" s="7"/>
      <c r="F1090" s="7">
        <f t="shared" ref="F1090:F1106" si="190">S1005</f>
        <v>249</v>
      </c>
      <c r="G1090" s="8">
        <v>1098</v>
      </c>
      <c r="H1090" s="7">
        <f t="shared" si="187"/>
        <v>0</v>
      </c>
      <c r="I1090" s="7"/>
      <c r="J1090" s="7">
        <v>144</v>
      </c>
      <c r="K1090" s="7">
        <v>18</v>
      </c>
      <c r="L1090" s="7"/>
      <c r="M1090" s="7"/>
      <c r="N1090" s="7"/>
      <c r="O1090" s="7"/>
      <c r="P1090" s="7"/>
      <c r="Q1090" s="7"/>
      <c r="R1090" s="7"/>
      <c r="S1090" s="9">
        <f t="shared" si="183"/>
        <v>1185</v>
      </c>
      <c r="T1090" s="10">
        <f t="shared" si="184"/>
        <v>0</v>
      </c>
      <c r="U1090" s="10"/>
    </row>
    <row r="1091" spans="1:21">
      <c r="A1091" s="6"/>
      <c r="B1091" s="11" t="s">
        <v>99</v>
      </c>
      <c r="C1091" s="7" t="s">
        <v>26</v>
      </c>
      <c r="D1091" s="7"/>
      <c r="E1091" s="7"/>
      <c r="F1091" s="7">
        <f t="shared" si="190"/>
        <v>1167</v>
      </c>
      <c r="G1091" s="8">
        <v>47</v>
      </c>
      <c r="H1091" s="7">
        <f t="shared" si="187"/>
        <v>0</v>
      </c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9">
        <f t="shared" si="183"/>
        <v>1214</v>
      </c>
      <c r="T1091" s="10">
        <f t="shared" si="184"/>
        <v>0</v>
      </c>
      <c r="U1091" s="10"/>
    </row>
    <row r="1092" spans="1:21">
      <c r="A1092" s="6"/>
      <c r="B1092" s="11" t="s">
        <v>100</v>
      </c>
      <c r="C1092" s="7" t="s">
        <v>26</v>
      </c>
      <c r="D1092" s="7"/>
      <c r="E1092" s="7"/>
      <c r="F1092" s="7">
        <f t="shared" si="190"/>
        <v>92</v>
      </c>
      <c r="G1092" s="8">
        <v>649</v>
      </c>
      <c r="H1092" s="7">
        <f t="shared" si="187"/>
        <v>0</v>
      </c>
      <c r="I1092" s="7"/>
      <c r="J1092" s="7">
        <v>72</v>
      </c>
      <c r="K1092" s="7"/>
      <c r="L1092" s="7"/>
      <c r="M1092" s="7"/>
      <c r="N1092" s="7"/>
      <c r="O1092" s="7"/>
      <c r="P1092" s="7"/>
      <c r="Q1092" s="7"/>
      <c r="R1092" s="7"/>
      <c r="S1092" s="9">
        <f t="shared" si="183"/>
        <v>669</v>
      </c>
      <c r="T1092" s="10">
        <f t="shared" si="184"/>
        <v>0</v>
      </c>
      <c r="U1092" s="10"/>
    </row>
    <row r="1093" spans="1:21">
      <c r="A1093" s="6"/>
      <c r="B1093" s="11" t="s">
        <v>101</v>
      </c>
      <c r="C1093" s="7" t="s">
        <v>26</v>
      </c>
      <c r="D1093" s="7"/>
      <c r="E1093" s="7"/>
      <c r="F1093" s="7">
        <f t="shared" si="190"/>
        <v>328</v>
      </c>
      <c r="G1093" s="8">
        <v>24</v>
      </c>
      <c r="H1093" s="7">
        <f t="shared" si="187"/>
        <v>0</v>
      </c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9">
        <f t="shared" si="183"/>
        <v>352</v>
      </c>
      <c r="T1093" s="10">
        <f t="shared" si="184"/>
        <v>0</v>
      </c>
      <c r="U1093" s="10"/>
    </row>
    <row r="1094" spans="1:21">
      <c r="A1094" s="6"/>
      <c r="B1094" s="11" t="s">
        <v>102</v>
      </c>
      <c r="C1094" s="7" t="s">
        <v>26</v>
      </c>
      <c r="D1094" s="7"/>
      <c r="E1094" s="7"/>
      <c r="F1094" s="7">
        <f t="shared" si="190"/>
        <v>840</v>
      </c>
      <c r="G1094" s="8"/>
      <c r="H1094" s="7">
        <f t="shared" si="187"/>
        <v>0</v>
      </c>
      <c r="I1094" s="7"/>
      <c r="J1094" s="7">
        <v>44</v>
      </c>
      <c r="K1094" s="7">
        <v>10</v>
      </c>
      <c r="L1094" s="7"/>
      <c r="M1094" s="7"/>
      <c r="N1094" s="7"/>
      <c r="O1094" s="7"/>
      <c r="P1094" s="7"/>
      <c r="Q1094" s="7"/>
      <c r="R1094" s="7"/>
      <c r="S1094" s="9">
        <f t="shared" si="183"/>
        <v>786</v>
      </c>
      <c r="T1094" s="10">
        <f t="shared" si="184"/>
        <v>0</v>
      </c>
      <c r="U1094" s="10"/>
    </row>
    <row r="1095" spans="1:21">
      <c r="A1095" s="6"/>
      <c r="B1095" s="11" t="s">
        <v>103</v>
      </c>
      <c r="C1095" s="7" t="s">
        <v>26</v>
      </c>
      <c r="D1095" s="7"/>
      <c r="E1095" s="7"/>
      <c r="F1095" s="7">
        <f t="shared" si="190"/>
        <v>303</v>
      </c>
      <c r="G1095" s="8"/>
      <c r="H1095" s="7">
        <f t="shared" si="187"/>
        <v>0</v>
      </c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9">
        <f t="shared" si="183"/>
        <v>303</v>
      </c>
      <c r="T1095" s="10">
        <f t="shared" si="184"/>
        <v>0</v>
      </c>
      <c r="U1095" s="10"/>
    </row>
    <row r="1096" spans="1:21">
      <c r="A1096" s="6"/>
      <c r="B1096" s="11" t="s">
        <v>112</v>
      </c>
      <c r="C1096" s="7" t="s">
        <v>113</v>
      </c>
      <c r="D1096" s="7"/>
      <c r="E1096" s="7"/>
      <c r="F1096" s="7">
        <f t="shared" si="190"/>
        <v>1383</v>
      </c>
      <c r="G1096" s="8"/>
      <c r="H1096" s="7">
        <f t="shared" si="187"/>
        <v>0</v>
      </c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9">
        <f t="shared" si="183"/>
        <v>1383</v>
      </c>
      <c r="T1096" s="10">
        <f t="shared" si="184"/>
        <v>0</v>
      </c>
      <c r="U1096" s="10"/>
    </row>
    <row r="1097" spans="1:21">
      <c r="A1097" s="6"/>
      <c r="B1097" s="11"/>
      <c r="C1097" s="7"/>
      <c r="D1097" s="7"/>
      <c r="E1097" s="7"/>
      <c r="F1097" s="7">
        <f t="shared" si="190"/>
        <v>0</v>
      </c>
      <c r="G1097" s="8"/>
      <c r="H1097" s="7">
        <f t="shared" si="187"/>
        <v>0</v>
      </c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9">
        <f t="shared" si="183"/>
        <v>0</v>
      </c>
      <c r="T1097" s="10">
        <f t="shared" si="184"/>
        <v>0</v>
      </c>
      <c r="U1097" s="10"/>
    </row>
    <row r="1098" spans="1:21">
      <c r="A1098" s="6"/>
      <c r="B1098" s="11"/>
      <c r="C1098" s="7"/>
      <c r="D1098" s="7"/>
      <c r="E1098" s="7"/>
      <c r="F1098" s="7">
        <f t="shared" si="190"/>
        <v>0</v>
      </c>
      <c r="G1098" s="8"/>
      <c r="H1098" s="7">
        <f t="shared" si="187"/>
        <v>0</v>
      </c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9">
        <f t="shared" si="183"/>
        <v>0</v>
      </c>
      <c r="T1098" s="10">
        <f t="shared" si="184"/>
        <v>0</v>
      </c>
      <c r="U1098" s="10"/>
    </row>
    <row r="1099" spans="1:21">
      <c r="A1099" s="6"/>
      <c r="B1099" s="11"/>
      <c r="C1099" s="7"/>
      <c r="D1099" s="7"/>
      <c r="E1099" s="7"/>
      <c r="F1099" s="7">
        <f t="shared" si="190"/>
        <v>0</v>
      </c>
      <c r="G1099" s="8"/>
      <c r="H1099" s="7">
        <f t="shared" si="187"/>
        <v>0</v>
      </c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9">
        <f t="shared" si="183"/>
        <v>0</v>
      </c>
      <c r="T1099" s="10">
        <f t="shared" si="184"/>
        <v>0</v>
      </c>
      <c r="U1099" s="10"/>
    </row>
    <row r="1100" spans="1:21">
      <c r="A1100" s="6"/>
      <c r="B1100" s="11"/>
      <c r="C1100" s="7"/>
      <c r="D1100" s="7"/>
      <c r="E1100" s="7"/>
      <c r="F1100" s="7">
        <f t="shared" si="190"/>
        <v>0</v>
      </c>
      <c r="G1100" s="8"/>
      <c r="H1100" s="7">
        <f t="shared" si="187"/>
        <v>0</v>
      </c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9">
        <f t="shared" si="183"/>
        <v>0</v>
      </c>
      <c r="T1100" s="10">
        <f t="shared" si="184"/>
        <v>0</v>
      </c>
      <c r="U1100" s="10"/>
    </row>
    <row r="1101" spans="1:21">
      <c r="A1101" s="6"/>
      <c r="B1101" s="11"/>
      <c r="C1101" s="7"/>
      <c r="D1101" s="7"/>
      <c r="E1101" s="7"/>
      <c r="F1101" s="7">
        <f t="shared" si="190"/>
        <v>0</v>
      </c>
      <c r="G1101" s="8"/>
      <c r="H1101" s="7">
        <f t="shared" si="187"/>
        <v>0</v>
      </c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9">
        <f t="shared" si="183"/>
        <v>0</v>
      </c>
      <c r="T1101" s="10">
        <f t="shared" si="184"/>
        <v>0</v>
      </c>
      <c r="U1101" s="10"/>
    </row>
    <row r="1102" spans="1:21">
      <c r="A1102" s="6"/>
      <c r="B1102" s="11"/>
      <c r="C1102" s="7"/>
      <c r="D1102" s="7"/>
      <c r="E1102" s="7"/>
      <c r="F1102" s="7">
        <f t="shared" si="190"/>
        <v>0</v>
      </c>
      <c r="G1102" s="8"/>
      <c r="H1102" s="7">
        <f t="shared" si="187"/>
        <v>0</v>
      </c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9">
        <f t="shared" si="183"/>
        <v>0</v>
      </c>
      <c r="T1102" s="10">
        <f t="shared" si="184"/>
        <v>0</v>
      </c>
      <c r="U1102" s="10"/>
    </row>
    <row r="1103" spans="1:21">
      <c r="A1103" s="6"/>
      <c r="B1103" s="11"/>
      <c r="C1103" s="7"/>
      <c r="D1103" s="7"/>
      <c r="E1103" s="7"/>
      <c r="F1103" s="7">
        <f t="shared" si="190"/>
        <v>0</v>
      </c>
      <c r="G1103" s="8"/>
      <c r="H1103" s="7">
        <f t="shared" si="187"/>
        <v>0</v>
      </c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9">
        <f t="shared" ref="S1103:S1116" si="191">F1103+G1103-J1103-K1103-L1103+M1103+O1103-P1103-R1103</f>
        <v>0</v>
      </c>
      <c r="T1103" s="10">
        <f t="shared" ref="T1103:T1116" si="192">H1103+I1103+N1103+R1103-Q1103</f>
        <v>0</v>
      </c>
      <c r="U1103" s="10"/>
    </row>
    <row r="1104" spans="1:21">
      <c r="A1104" s="6"/>
      <c r="B1104" s="11"/>
      <c r="C1104" s="7"/>
      <c r="D1104" s="7"/>
      <c r="E1104" s="7"/>
      <c r="F1104" s="7">
        <f t="shared" si="190"/>
        <v>0</v>
      </c>
      <c r="G1104" s="8"/>
      <c r="H1104" s="7">
        <f t="shared" si="187"/>
        <v>0</v>
      </c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9">
        <f t="shared" si="191"/>
        <v>0</v>
      </c>
      <c r="T1104" s="10">
        <f t="shared" si="192"/>
        <v>0</v>
      </c>
      <c r="U1104" s="10"/>
    </row>
    <row r="1105" spans="1:26">
      <c r="A1105" s="6"/>
      <c r="B1105" s="11"/>
      <c r="C1105" s="7"/>
      <c r="D1105" s="7"/>
      <c r="E1105" s="7"/>
      <c r="F1105" s="7">
        <f t="shared" si="190"/>
        <v>0</v>
      </c>
      <c r="G1105" s="8"/>
      <c r="H1105" s="7">
        <f t="shared" si="187"/>
        <v>0</v>
      </c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9">
        <f t="shared" si="191"/>
        <v>0</v>
      </c>
      <c r="T1105" s="10">
        <f t="shared" si="192"/>
        <v>0</v>
      </c>
      <c r="U1105" s="10"/>
    </row>
    <row r="1106" spans="1:26">
      <c r="A1106" s="6"/>
      <c r="B1106" s="11"/>
      <c r="C1106" s="7"/>
      <c r="D1106" s="7"/>
      <c r="E1106" s="7"/>
      <c r="F1106" s="7">
        <f t="shared" si="190"/>
        <v>0</v>
      </c>
      <c r="G1106" s="8"/>
      <c r="H1106" s="7">
        <f t="shared" si="187"/>
        <v>0</v>
      </c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9">
        <f t="shared" si="191"/>
        <v>0</v>
      </c>
      <c r="T1106" s="10">
        <f t="shared" si="192"/>
        <v>0</v>
      </c>
      <c r="U1106" s="10"/>
      <c r="V1106">
        <f>X1106*0.1</f>
        <v>0</v>
      </c>
      <c r="W1106">
        <f>E1106*S1106*1.5</f>
        <v>0</v>
      </c>
      <c r="X1106">
        <f>J1106+K1106</f>
        <v>0</v>
      </c>
      <c r="Y1106">
        <f>X1106*0.13</f>
        <v>0</v>
      </c>
    </row>
    <row r="1107" spans="1:26">
      <c r="A1107" s="6">
        <v>46156</v>
      </c>
      <c r="B1107" t="s">
        <v>25</v>
      </c>
      <c r="C1107" s="7" t="s">
        <v>26</v>
      </c>
      <c r="D1107" s="7"/>
      <c r="E1107" s="7"/>
      <c r="F1107" s="7">
        <f t="shared" ref="F1106:F1118" si="193">S1022</f>
        <v>888</v>
      </c>
      <c r="G1107" s="8">
        <v>897</v>
      </c>
      <c r="H1107" s="7">
        <f t="shared" si="187"/>
        <v>0</v>
      </c>
      <c r="I1107" s="7"/>
      <c r="J1107" s="7">
        <v>120</v>
      </c>
      <c r="K1107" s="7"/>
      <c r="L1107" s="7"/>
      <c r="M1107" s="7"/>
      <c r="N1107" s="7"/>
      <c r="O1107" s="7"/>
      <c r="P1107" s="7"/>
      <c r="Q1107" s="7"/>
      <c r="R1107" s="7"/>
      <c r="S1107" s="9">
        <f t="shared" si="191"/>
        <v>1665</v>
      </c>
      <c r="T1107" s="10">
        <f t="shared" si="192"/>
        <v>0</v>
      </c>
      <c r="U1107" s="10"/>
      <c r="V1107">
        <f t="shared" ref="V1107:V1116" si="194">X1107*0.1</f>
        <v>12</v>
      </c>
      <c r="W1107">
        <f t="shared" ref="W1107:W1113" si="195">E1107*S1107*1.5</f>
        <v>0</v>
      </c>
      <c r="X1107">
        <f t="shared" ref="X1107:X1116" si="196">J1107+K1107</f>
        <v>120</v>
      </c>
      <c r="Y1107">
        <f t="shared" ref="Y1107:Y1116" si="197">X1107*0.13</f>
        <v>15.6</v>
      </c>
    </row>
    <row r="1108" spans="1:26">
      <c r="A1108" s="6"/>
      <c r="B1108" t="s">
        <v>27</v>
      </c>
      <c r="C1108" s="7" t="s">
        <v>26</v>
      </c>
      <c r="D1108" s="7"/>
      <c r="E1108" s="7"/>
      <c r="F1108" s="7">
        <f t="shared" si="193"/>
        <v>539</v>
      </c>
      <c r="G1108" s="8">
        <v>70</v>
      </c>
      <c r="H1108" s="7">
        <f t="shared" si="187"/>
        <v>0</v>
      </c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9">
        <f t="shared" si="191"/>
        <v>609</v>
      </c>
      <c r="T1108" s="10">
        <f t="shared" si="192"/>
        <v>0</v>
      </c>
      <c r="U1108" s="10"/>
      <c r="V1108">
        <f t="shared" si="194"/>
        <v>0</v>
      </c>
      <c r="W1108">
        <f t="shared" si="195"/>
        <v>0</v>
      </c>
      <c r="X1108">
        <f t="shared" si="196"/>
        <v>0</v>
      </c>
      <c r="Y1108">
        <f t="shared" si="197"/>
        <v>0</v>
      </c>
    </row>
    <row r="1109" spans="1:26">
      <c r="A1109" s="6"/>
      <c r="B1109" s="6" t="s">
        <v>28</v>
      </c>
      <c r="C1109" s="7" t="s">
        <v>26</v>
      </c>
      <c r="D1109" s="7"/>
      <c r="E1109" s="7"/>
      <c r="F1109" s="7">
        <f t="shared" si="193"/>
        <v>1157</v>
      </c>
      <c r="G1109" s="8"/>
      <c r="H1109" s="7">
        <f t="shared" si="187"/>
        <v>0</v>
      </c>
      <c r="I1109" s="7"/>
      <c r="J1109" s="7">
        <v>120</v>
      </c>
      <c r="K1109" s="7"/>
      <c r="L1109" s="7"/>
      <c r="M1109" s="7"/>
      <c r="N1109" s="7"/>
      <c r="O1109" s="7"/>
      <c r="P1109" s="7"/>
      <c r="Q1109" s="7"/>
      <c r="R1109" s="7"/>
      <c r="S1109" s="9">
        <f t="shared" si="191"/>
        <v>1037</v>
      </c>
      <c r="T1109" s="10">
        <f t="shared" si="192"/>
        <v>0</v>
      </c>
      <c r="U1109" s="10"/>
      <c r="V1109">
        <f t="shared" si="194"/>
        <v>12</v>
      </c>
      <c r="W1109">
        <f t="shared" si="195"/>
        <v>0</v>
      </c>
      <c r="X1109">
        <f t="shared" si="196"/>
        <v>120</v>
      </c>
      <c r="Y1109">
        <f t="shared" si="197"/>
        <v>15.6</v>
      </c>
    </row>
    <row r="1110" spans="1:26">
      <c r="A1110" s="6"/>
      <c r="B1110" s="6" t="s">
        <v>29</v>
      </c>
      <c r="C1110" s="7" t="s">
        <v>26</v>
      </c>
      <c r="D1110" s="7"/>
      <c r="E1110" s="7"/>
      <c r="F1110" s="7">
        <f t="shared" si="193"/>
        <v>229</v>
      </c>
      <c r="G1110" s="8"/>
      <c r="H1110" s="7">
        <f t="shared" si="187"/>
        <v>0</v>
      </c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9">
        <f t="shared" si="191"/>
        <v>229</v>
      </c>
      <c r="T1110" s="10">
        <f t="shared" si="192"/>
        <v>0</v>
      </c>
      <c r="U1110" s="10"/>
      <c r="V1110">
        <f t="shared" si="194"/>
        <v>0</v>
      </c>
      <c r="W1110">
        <f t="shared" si="195"/>
        <v>0</v>
      </c>
      <c r="X1110">
        <f t="shared" si="196"/>
        <v>0</v>
      </c>
      <c r="Y1110">
        <f t="shared" si="197"/>
        <v>0</v>
      </c>
    </row>
    <row r="1111" spans="1:26">
      <c r="A1111" s="6"/>
      <c r="B1111" s="6" t="s">
        <v>30</v>
      </c>
      <c r="C1111" s="7" t="s">
        <v>26</v>
      </c>
      <c r="D1111" s="7"/>
      <c r="E1111" s="7"/>
      <c r="F1111" s="7">
        <f t="shared" si="193"/>
        <v>1473</v>
      </c>
      <c r="G1111" s="8">
        <v>1586</v>
      </c>
      <c r="H1111" s="7">
        <f t="shared" si="187"/>
        <v>0</v>
      </c>
      <c r="I1111" s="7"/>
      <c r="J1111" s="7">
        <v>120</v>
      </c>
      <c r="K1111" s="7"/>
      <c r="L1111" s="7"/>
      <c r="M1111" s="7"/>
      <c r="N1111" s="7"/>
      <c r="O1111" s="7"/>
      <c r="P1111" s="7"/>
      <c r="Q1111" s="7"/>
      <c r="R1111" s="7"/>
      <c r="S1111" s="9">
        <f t="shared" si="191"/>
        <v>2939</v>
      </c>
      <c r="T1111" s="10">
        <f t="shared" si="192"/>
        <v>0</v>
      </c>
      <c r="U1111" s="10"/>
      <c r="V1111">
        <f t="shared" si="194"/>
        <v>12</v>
      </c>
      <c r="W1111">
        <f t="shared" si="195"/>
        <v>0</v>
      </c>
      <c r="X1111">
        <f t="shared" si="196"/>
        <v>120</v>
      </c>
      <c r="Y1111">
        <f t="shared" si="197"/>
        <v>15.6</v>
      </c>
    </row>
    <row r="1112" spans="1:26">
      <c r="A1112" s="6"/>
      <c r="B1112" s="6" t="s">
        <v>31</v>
      </c>
      <c r="C1112" s="7" t="s">
        <v>26</v>
      </c>
      <c r="D1112" s="7"/>
      <c r="E1112" s="7"/>
      <c r="F1112" s="7">
        <f t="shared" si="193"/>
        <v>1226</v>
      </c>
      <c r="G1112" s="8">
        <v>336</v>
      </c>
      <c r="H1112" s="7">
        <f t="shared" si="187"/>
        <v>0</v>
      </c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9">
        <f t="shared" si="191"/>
        <v>1562</v>
      </c>
      <c r="T1112" s="10">
        <f t="shared" si="192"/>
        <v>0</v>
      </c>
      <c r="U1112" s="10"/>
      <c r="V1112">
        <f t="shared" si="194"/>
        <v>0</v>
      </c>
      <c r="W1112">
        <f t="shared" si="195"/>
        <v>0</v>
      </c>
      <c r="X1112">
        <f t="shared" si="196"/>
        <v>0</v>
      </c>
      <c r="Y1112">
        <f t="shared" si="197"/>
        <v>0</v>
      </c>
    </row>
    <row r="1113" spans="1:26">
      <c r="A1113" s="6"/>
      <c r="B1113" s="6" t="s">
        <v>32</v>
      </c>
      <c r="C1113" s="7" t="s">
        <v>26</v>
      </c>
      <c r="D1113" s="7"/>
      <c r="E1113" s="7"/>
      <c r="F1113" s="7">
        <f t="shared" si="193"/>
        <v>93</v>
      </c>
      <c r="G1113" s="8">
        <v>1365</v>
      </c>
      <c r="H1113" s="7">
        <f t="shared" si="187"/>
        <v>0</v>
      </c>
      <c r="I1113" s="7"/>
      <c r="J1113" s="7">
        <v>120</v>
      </c>
      <c r="K1113" s="7"/>
      <c r="L1113" s="7"/>
      <c r="M1113" s="7">
        <v>2</v>
      </c>
      <c r="N1113" s="7"/>
      <c r="O1113" s="7"/>
      <c r="P1113" s="7"/>
      <c r="Q1113" s="7"/>
      <c r="R1113" s="7"/>
      <c r="S1113" s="9">
        <f t="shared" si="191"/>
        <v>1340</v>
      </c>
      <c r="T1113" s="10">
        <f t="shared" si="192"/>
        <v>0</v>
      </c>
      <c r="U1113" s="10"/>
      <c r="V1113">
        <f t="shared" si="194"/>
        <v>12</v>
      </c>
      <c r="W1113">
        <f t="shared" si="195"/>
        <v>0</v>
      </c>
      <c r="X1113">
        <f t="shared" si="196"/>
        <v>120</v>
      </c>
      <c r="Y1113">
        <f t="shared" si="197"/>
        <v>15.6</v>
      </c>
    </row>
    <row r="1114" spans="1:26">
      <c r="A1114" s="6"/>
      <c r="B1114" s="6" t="s">
        <v>33</v>
      </c>
      <c r="C1114" s="7" t="s">
        <v>26</v>
      </c>
      <c r="D1114" s="7"/>
      <c r="E1114" s="7"/>
      <c r="F1114" s="7">
        <f t="shared" si="193"/>
        <v>1425</v>
      </c>
      <c r="G1114" s="8">
        <v>72</v>
      </c>
      <c r="H1114" s="7">
        <f t="shared" si="187"/>
        <v>0</v>
      </c>
      <c r="I1114" s="7"/>
      <c r="J1114" s="7"/>
      <c r="K1114" s="7"/>
      <c r="L1114" s="7"/>
      <c r="M1114" s="7">
        <v>70</v>
      </c>
      <c r="N1114" s="7"/>
      <c r="O1114" s="7"/>
      <c r="P1114" s="7"/>
      <c r="Q1114" s="7"/>
      <c r="R1114" s="7"/>
      <c r="S1114" s="9">
        <f t="shared" si="191"/>
        <v>1567</v>
      </c>
      <c r="T1114" s="10">
        <f t="shared" si="192"/>
        <v>0</v>
      </c>
      <c r="U1114" s="10"/>
      <c r="Z1114" s="15"/>
    </row>
    <row r="1115" spans="1:26">
      <c r="A1115" s="6"/>
      <c r="B1115" s="11" t="s">
        <v>34</v>
      </c>
      <c r="C1115" s="7" t="s">
        <v>26</v>
      </c>
      <c r="D1115" s="7"/>
      <c r="E1115" s="7"/>
      <c r="F1115" s="7">
        <f t="shared" si="193"/>
        <v>17</v>
      </c>
      <c r="G1115" s="8"/>
      <c r="H1115" s="7">
        <f t="shared" si="187"/>
        <v>0</v>
      </c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9">
        <f t="shared" si="191"/>
        <v>17</v>
      </c>
      <c r="T1115" s="10">
        <f t="shared" si="192"/>
        <v>0</v>
      </c>
      <c r="U1115" s="10"/>
    </row>
    <row r="1116" spans="1:26">
      <c r="A1116" s="6"/>
      <c r="B1116" s="11" t="s">
        <v>35</v>
      </c>
      <c r="C1116" s="7" t="s">
        <v>26</v>
      </c>
      <c r="D1116" s="7"/>
      <c r="E1116" s="7"/>
      <c r="F1116" s="7">
        <f t="shared" si="193"/>
        <v>120</v>
      </c>
      <c r="G1116" s="8"/>
      <c r="H1116" s="7">
        <f t="shared" si="187"/>
        <v>0</v>
      </c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9">
        <f t="shared" si="191"/>
        <v>120</v>
      </c>
      <c r="T1116" s="10">
        <f t="shared" si="192"/>
        <v>0</v>
      </c>
      <c r="U1116" s="10"/>
    </row>
    <row r="1117" spans="1:26">
      <c r="A1117" s="6"/>
      <c r="B1117" s="11" t="s">
        <v>36</v>
      </c>
      <c r="C1117" s="7" t="s">
        <v>26</v>
      </c>
      <c r="D1117" s="7"/>
      <c r="E1117" s="7"/>
      <c r="F1117" s="7">
        <f t="shared" si="193"/>
        <v>0</v>
      </c>
      <c r="G1117" s="8"/>
      <c r="H1117" s="7">
        <f t="shared" si="187"/>
        <v>0</v>
      </c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9">
        <f t="shared" ref="S1117:S1162" si="198">F1117+G1117-J1117-K1117-L1117+M1117+O1117-P1117-R1117</f>
        <v>0</v>
      </c>
      <c r="T1117" s="10">
        <f t="shared" ref="T1117:T1162" si="199">H1117+I1117+N1117+R1117-Q1117</f>
        <v>0</v>
      </c>
      <c r="U1117" s="10"/>
    </row>
    <row r="1118" spans="1:26">
      <c r="A1118" s="6"/>
      <c r="B1118" s="11" t="s">
        <v>37</v>
      </c>
      <c r="C1118" s="7" t="s">
        <v>26</v>
      </c>
      <c r="D1118" s="7"/>
      <c r="E1118" s="7"/>
      <c r="F1118" s="7">
        <f t="shared" si="193"/>
        <v>24</v>
      </c>
      <c r="G1118" s="8"/>
      <c r="H1118" s="7">
        <f t="shared" si="187"/>
        <v>0</v>
      </c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9">
        <f t="shared" si="198"/>
        <v>24</v>
      </c>
      <c r="T1118" s="10">
        <f t="shared" si="199"/>
        <v>0</v>
      </c>
      <c r="U1118" s="10"/>
    </row>
    <row r="1119" spans="1:26">
      <c r="A1119" s="6"/>
      <c r="B1119" s="11" t="s">
        <v>38</v>
      </c>
      <c r="C1119" s="7" t="s">
        <v>26</v>
      </c>
      <c r="D1119" s="7"/>
      <c r="E1119" s="7"/>
      <c r="F1119" s="7">
        <f t="shared" ref="F1119:F1130" si="200">S1034</f>
        <v>0</v>
      </c>
      <c r="G1119" s="8"/>
      <c r="H1119" s="7">
        <f t="shared" si="187"/>
        <v>0</v>
      </c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9">
        <f t="shared" si="198"/>
        <v>0</v>
      </c>
      <c r="T1119" s="10">
        <f t="shared" si="199"/>
        <v>0</v>
      </c>
      <c r="U1119" s="10"/>
    </row>
    <row r="1120" spans="1:26">
      <c r="A1120" s="6"/>
      <c r="B1120" s="11" t="s">
        <v>39</v>
      </c>
      <c r="C1120" s="7" t="s">
        <v>26</v>
      </c>
      <c r="D1120" s="7"/>
      <c r="E1120" s="7"/>
      <c r="F1120" s="7">
        <f t="shared" si="200"/>
        <v>1700</v>
      </c>
      <c r="G1120" s="8"/>
      <c r="H1120" s="7">
        <f t="shared" si="187"/>
        <v>0</v>
      </c>
      <c r="I1120" s="7"/>
      <c r="J1120" s="7"/>
      <c r="K1120" s="7"/>
      <c r="L1120" s="7"/>
      <c r="M1120" s="7">
        <v>40</v>
      </c>
      <c r="N1120" s="7"/>
      <c r="O1120" s="7"/>
      <c r="P1120" s="7"/>
      <c r="Q1120" s="7"/>
      <c r="R1120" s="7"/>
      <c r="S1120" s="9">
        <f t="shared" si="198"/>
        <v>1740</v>
      </c>
      <c r="T1120" s="10">
        <f t="shared" si="199"/>
        <v>0</v>
      </c>
      <c r="U1120" s="10"/>
    </row>
    <row r="1121" spans="1:21">
      <c r="A1121" s="6"/>
      <c r="B1121" s="11" t="s">
        <v>40</v>
      </c>
      <c r="C1121" s="7" t="s">
        <v>41</v>
      </c>
      <c r="D1121" s="7"/>
      <c r="E1121" s="7"/>
      <c r="F1121" s="7">
        <f t="shared" si="200"/>
        <v>0</v>
      </c>
      <c r="G1121" s="8"/>
      <c r="H1121" s="7">
        <f t="shared" si="187"/>
        <v>0</v>
      </c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9">
        <f t="shared" si="198"/>
        <v>0</v>
      </c>
      <c r="T1121" s="10">
        <f t="shared" si="199"/>
        <v>0</v>
      </c>
      <c r="U1121" s="10"/>
    </row>
    <row r="1122" spans="1:21">
      <c r="A1122" s="6"/>
      <c r="B1122" s="11" t="s">
        <v>42</v>
      </c>
      <c r="C1122" s="7" t="s">
        <v>41</v>
      </c>
      <c r="D1122" s="7"/>
      <c r="E1122" s="7"/>
      <c r="F1122" s="7">
        <f t="shared" si="200"/>
        <v>53</v>
      </c>
      <c r="G1122" s="8"/>
      <c r="H1122" s="7">
        <f t="shared" si="187"/>
        <v>0</v>
      </c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9">
        <f t="shared" si="198"/>
        <v>53</v>
      </c>
      <c r="T1122" s="10">
        <f t="shared" si="199"/>
        <v>0</v>
      </c>
      <c r="U1122" s="10"/>
    </row>
    <row r="1123" spans="1:21">
      <c r="A1123" s="6"/>
      <c r="B1123" s="11" t="s">
        <v>43</v>
      </c>
      <c r="C1123" s="7" t="s">
        <v>41</v>
      </c>
      <c r="D1123" s="7"/>
      <c r="E1123" s="7"/>
      <c r="F1123" s="7">
        <f t="shared" si="200"/>
        <v>0</v>
      </c>
      <c r="G1123" s="8"/>
      <c r="H1123" s="7">
        <f t="shared" si="187"/>
        <v>0</v>
      </c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9">
        <f t="shared" si="198"/>
        <v>0</v>
      </c>
      <c r="T1123" s="10">
        <f t="shared" si="199"/>
        <v>0</v>
      </c>
      <c r="U1123" s="10"/>
    </row>
    <row r="1124" spans="1:21">
      <c r="A1124" s="6"/>
      <c r="B1124" s="11" t="s">
        <v>44</v>
      </c>
      <c r="C1124" s="7" t="s">
        <v>41</v>
      </c>
      <c r="D1124" s="7"/>
      <c r="E1124" s="7"/>
      <c r="F1124" s="7">
        <f t="shared" si="200"/>
        <v>75</v>
      </c>
      <c r="G1124" s="8"/>
      <c r="H1124" s="7">
        <f t="shared" ref="H1124:H1187" si="201">T1039</f>
        <v>0</v>
      </c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9">
        <f t="shared" si="198"/>
        <v>75</v>
      </c>
      <c r="T1124" s="10">
        <f t="shared" si="199"/>
        <v>0</v>
      </c>
      <c r="U1124" s="10"/>
    </row>
    <row r="1125" spans="1:21">
      <c r="A1125" s="6"/>
      <c r="B1125" s="11" t="s">
        <v>45</v>
      </c>
      <c r="C1125" s="7" t="s">
        <v>41</v>
      </c>
      <c r="D1125" s="7"/>
      <c r="E1125" s="7"/>
      <c r="F1125" s="7">
        <f t="shared" si="200"/>
        <v>0</v>
      </c>
      <c r="G1125" s="8"/>
      <c r="H1125" s="7">
        <f t="shared" si="201"/>
        <v>0</v>
      </c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9">
        <f t="shared" si="198"/>
        <v>0</v>
      </c>
      <c r="T1125" s="10">
        <f t="shared" si="199"/>
        <v>0</v>
      </c>
      <c r="U1125" s="10"/>
    </row>
    <row r="1126" spans="1:21">
      <c r="A1126" s="6"/>
      <c r="B1126" s="11" t="s">
        <v>46</v>
      </c>
      <c r="C1126" s="7" t="s">
        <v>41</v>
      </c>
      <c r="D1126" s="7"/>
      <c r="E1126" s="7"/>
      <c r="F1126" s="7">
        <f t="shared" si="200"/>
        <v>17</v>
      </c>
      <c r="G1126" s="8"/>
      <c r="H1126" s="7">
        <f t="shared" si="201"/>
        <v>0</v>
      </c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9">
        <f t="shared" si="198"/>
        <v>17</v>
      </c>
      <c r="T1126" s="10">
        <f t="shared" si="199"/>
        <v>0</v>
      </c>
      <c r="U1126" s="10"/>
    </row>
    <row r="1127" spans="1:21">
      <c r="A1127" s="6"/>
      <c r="B1127" s="11" t="s">
        <v>47</v>
      </c>
      <c r="C1127" s="7" t="s">
        <v>26</v>
      </c>
      <c r="D1127" s="7"/>
      <c r="E1127" s="7"/>
      <c r="F1127" s="7">
        <f t="shared" ref="F1127:F1150" si="202">S1042</f>
        <v>0</v>
      </c>
      <c r="G1127" s="8"/>
      <c r="H1127" s="7">
        <f t="shared" si="201"/>
        <v>0</v>
      </c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9">
        <f t="shared" si="198"/>
        <v>0</v>
      </c>
      <c r="T1127" s="10">
        <f t="shared" si="199"/>
        <v>0</v>
      </c>
      <c r="U1127" s="10"/>
    </row>
    <row r="1128" spans="1:21">
      <c r="A1128" s="6"/>
      <c r="B1128" s="11" t="s">
        <v>48</v>
      </c>
      <c r="C1128" s="7" t="s">
        <v>26</v>
      </c>
      <c r="D1128" s="7"/>
      <c r="E1128" s="7"/>
      <c r="F1128" s="7">
        <f t="shared" si="202"/>
        <v>29334</v>
      </c>
      <c r="G1128" s="8"/>
      <c r="H1128" s="7">
        <f t="shared" si="201"/>
        <v>0</v>
      </c>
      <c r="I1128" s="7"/>
      <c r="J1128" s="7">
        <v>2250</v>
      </c>
      <c r="K1128" s="7"/>
      <c r="L1128" s="7"/>
      <c r="M1128" s="7">
        <v>30</v>
      </c>
      <c r="N1128" s="7"/>
      <c r="O1128" s="7"/>
      <c r="P1128" s="7"/>
      <c r="Q1128" s="7"/>
      <c r="R1128" s="7"/>
      <c r="S1128" s="9">
        <f t="shared" si="198"/>
        <v>27114</v>
      </c>
      <c r="T1128" s="10">
        <f t="shared" si="199"/>
        <v>0</v>
      </c>
      <c r="U1128" s="10" t="s">
        <v>118</v>
      </c>
    </row>
    <row r="1129" spans="1:21">
      <c r="A1129" s="6"/>
      <c r="B1129" s="11" t="s">
        <v>50</v>
      </c>
      <c r="C1129" s="7" t="s">
        <v>26</v>
      </c>
      <c r="D1129" s="7"/>
      <c r="E1129" s="7"/>
      <c r="F1129" s="7">
        <f t="shared" si="202"/>
        <v>0</v>
      </c>
      <c r="G1129" s="8"/>
      <c r="H1129" s="7">
        <f t="shared" si="201"/>
        <v>0</v>
      </c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9">
        <f t="shared" si="198"/>
        <v>0</v>
      </c>
      <c r="T1129" s="10">
        <f t="shared" si="199"/>
        <v>0</v>
      </c>
      <c r="U1129" s="10"/>
    </row>
    <row r="1130" spans="1:21">
      <c r="A1130" s="6"/>
      <c r="B1130" s="11" t="s">
        <v>51</v>
      </c>
      <c r="C1130" s="7" t="s">
        <v>26</v>
      </c>
      <c r="D1130" s="7"/>
      <c r="E1130" s="7"/>
      <c r="F1130" s="7">
        <f t="shared" si="202"/>
        <v>0</v>
      </c>
      <c r="G1130" s="8"/>
      <c r="H1130" s="7">
        <f t="shared" si="201"/>
        <v>0</v>
      </c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9">
        <f t="shared" si="198"/>
        <v>0</v>
      </c>
      <c r="T1130" s="10">
        <f t="shared" si="199"/>
        <v>0</v>
      </c>
      <c r="U1130" s="10"/>
    </row>
    <row r="1131" spans="1:21">
      <c r="A1131" s="6"/>
      <c r="B1131" s="11" t="s">
        <v>52</v>
      </c>
      <c r="C1131" s="7" t="s">
        <v>26</v>
      </c>
      <c r="D1131" s="7"/>
      <c r="E1131" s="7"/>
      <c r="F1131" s="7">
        <f t="shared" si="202"/>
        <v>7760</v>
      </c>
      <c r="G1131" s="8"/>
      <c r="H1131" s="7">
        <f t="shared" si="201"/>
        <v>0</v>
      </c>
      <c r="I1131" s="7"/>
      <c r="J1131" s="7">
        <v>480</v>
      </c>
      <c r="K1131" s="7"/>
      <c r="L1131" s="7"/>
      <c r="M1131" s="7"/>
      <c r="N1131" s="7"/>
      <c r="O1131" s="7"/>
      <c r="P1131" s="7"/>
      <c r="Q1131" s="7"/>
      <c r="R1131" s="7"/>
      <c r="S1131" s="9">
        <f t="shared" si="198"/>
        <v>7280</v>
      </c>
      <c r="T1131" s="10">
        <f t="shared" si="199"/>
        <v>0</v>
      </c>
      <c r="U1131" s="10"/>
    </row>
    <row r="1132" spans="1:21">
      <c r="A1132" s="6"/>
      <c r="B1132" s="11" t="s">
        <v>53</v>
      </c>
      <c r="C1132" s="7" t="s">
        <v>54</v>
      </c>
      <c r="D1132" s="7"/>
      <c r="E1132" s="7"/>
      <c r="F1132" s="7">
        <f t="shared" si="202"/>
        <v>0</v>
      </c>
      <c r="G1132" s="8"/>
      <c r="H1132" s="7">
        <f t="shared" si="201"/>
        <v>0</v>
      </c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9">
        <f t="shared" si="198"/>
        <v>0</v>
      </c>
      <c r="T1132" s="10">
        <f t="shared" si="199"/>
        <v>0</v>
      </c>
      <c r="U1132" s="10"/>
    </row>
    <row r="1133" spans="1:21">
      <c r="A1133" s="6"/>
      <c r="B1133" s="11" t="s">
        <v>55</v>
      </c>
      <c r="C1133" s="7" t="s">
        <v>54</v>
      </c>
      <c r="D1133" s="7"/>
      <c r="E1133" s="7"/>
      <c r="F1133" s="7">
        <f t="shared" si="202"/>
        <v>15</v>
      </c>
      <c r="G1133" s="8"/>
      <c r="H1133" s="7">
        <f t="shared" si="201"/>
        <v>0</v>
      </c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9">
        <f t="shared" si="198"/>
        <v>15</v>
      </c>
      <c r="T1133" s="10">
        <f t="shared" si="199"/>
        <v>0</v>
      </c>
      <c r="U1133" s="10"/>
    </row>
    <row r="1134" spans="1:21">
      <c r="A1134" s="6"/>
      <c r="B1134" s="11" t="s">
        <v>56</v>
      </c>
      <c r="C1134" s="7" t="s">
        <v>54</v>
      </c>
      <c r="D1134" s="7"/>
      <c r="E1134" s="7"/>
      <c r="F1134" s="7">
        <f t="shared" si="202"/>
        <v>2836</v>
      </c>
      <c r="G1134" s="8"/>
      <c r="H1134" s="7">
        <f t="shared" si="201"/>
        <v>0</v>
      </c>
      <c r="I1134" s="7"/>
      <c r="J1134" s="7">
        <v>90</v>
      </c>
      <c r="K1134" s="7"/>
      <c r="L1134" s="7"/>
      <c r="M1134" s="7"/>
      <c r="N1134" s="7"/>
      <c r="O1134" s="7"/>
      <c r="P1134" s="7"/>
      <c r="Q1134" s="7"/>
      <c r="R1134" s="7"/>
      <c r="S1134" s="9">
        <f t="shared" si="198"/>
        <v>2746</v>
      </c>
      <c r="T1134" s="10">
        <f t="shared" si="199"/>
        <v>0</v>
      </c>
      <c r="U1134" s="10"/>
    </row>
    <row r="1135" spans="1:21">
      <c r="A1135" s="6"/>
      <c r="B1135" s="11" t="s">
        <v>57</v>
      </c>
      <c r="C1135" s="7" t="s">
        <v>54</v>
      </c>
      <c r="D1135" s="7"/>
      <c r="E1135" s="7"/>
      <c r="F1135" s="7">
        <f t="shared" si="202"/>
        <v>315</v>
      </c>
      <c r="G1135" s="8"/>
      <c r="H1135" s="7">
        <f t="shared" si="201"/>
        <v>0</v>
      </c>
      <c r="I1135" s="7"/>
      <c r="J1135" s="7"/>
      <c r="K1135" s="7"/>
      <c r="L1135" s="7"/>
      <c r="M1135" s="7">
        <v>78</v>
      </c>
      <c r="N1135" s="7"/>
      <c r="O1135" s="7">
        <v>36</v>
      </c>
      <c r="P1135" s="7"/>
      <c r="Q1135" s="7"/>
      <c r="R1135" s="7"/>
      <c r="S1135" s="9">
        <f t="shared" si="198"/>
        <v>429</v>
      </c>
      <c r="T1135" s="10">
        <f t="shared" si="199"/>
        <v>0</v>
      </c>
      <c r="U1135" s="10"/>
    </row>
    <row r="1136" spans="1:21">
      <c r="A1136" s="6"/>
      <c r="B1136" s="11" t="s">
        <v>58</v>
      </c>
      <c r="C1136" s="7" t="s">
        <v>54</v>
      </c>
      <c r="D1136" s="7"/>
      <c r="E1136" s="7"/>
      <c r="F1136" s="7">
        <f t="shared" si="202"/>
        <v>0</v>
      </c>
      <c r="G1136" s="8"/>
      <c r="H1136" s="7">
        <f t="shared" si="201"/>
        <v>0</v>
      </c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9">
        <f t="shared" si="198"/>
        <v>0</v>
      </c>
      <c r="T1136" s="10">
        <f t="shared" si="199"/>
        <v>0</v>
      </c>
      <c r="U1136" s="10"/>
    </row>
    <row r="1137" spans="1:21">
      <c r="A1137" s="6"/>
      <c r="B1137" s="11" t="s">
        <v>59</v>
      </c>
      <c r="C1137" s="7" t="s">
        <v>54</v>
      </c>
      <c r="D1137" s="7"/>
      <c r="E1137" s="7"/>
      <c r="F1137" s="7">
        <f t="shared" si="202"/>
        <v>19</v>
      </c>
      <c r="G1137" s="8"/>
      <c r="H1137" s="7">
        <f t="shared" si="201"/>
        <v>0</v>
      </c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9">
        <f t="shared" si="198"/>
        <v>19</v>
      </c>
      <c r="T1137" s="10">
        <f t="shared" si="199"/>
        <v>0</v>
      </c>
      <c r="U1137" s="10"/>
    </row>
    <row r="1138" spans="1:21">
      <c r="A1138" s="6"/>
      <c r="B1138" s="11" t="s">
        <v>60</v>
      </c>
      <c r="C1138" s="7" t="s">
        <v>61</v>
      </c>
      <c r="D1138" s="7"/>
      <c r="E1138" s="7"/>
      <c r="F1138" s="7">
        <f t="shared" si="202"/>
        <v>0</v>
      </c>
      <c r="G1138" s="8"/>
      <c r="H1138" s="7">
        <f t="shared" si="201"/>
        <v>0</v>
      </c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9">
        <f t="shared" si="198"/>
        <v>0</v>
      </c>
      <c r="T1138" s="10">
        <f t="shared" si="199"/>
        <v>0</v>
      </c>
      <c r="U1138" s="10"/>
    </row>
    <row r="1139" spans="1:21">
      <c r="A1139" s="6"/>
      <c r="B1139" s="11" t="s">
        <v>62</v>
      </c>
      <c r="C1139" s="7" t="s">
        <v>61</v>
      </c>
      <c r="D1139" s="7"/>
      <c r="E1139" s="7"/>
      <c r="F1139" s="7">
        <f t="shared" si="202"/>
        <v>11</v>
      </c>
      <c r="G1139" s="8"/>
      <c r="H1139" s="7">
        <f t="shared" si="201"/>
        <v>0</v>
      </c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9">
        <f t="shared" si="198"/>
        <v>11</v>
      </c>
      <c r="T1139" s="10">
        <f t="shared" si="199"/>
        <v>0</v>
      </c>
      <c r="U1139" s="10"/>
    </row>
    <row r="1140" spans="1:21">
      <c r="A1140" s="6"/>
      <c r="B1140" s="10" t="s">
        <v>63</v>
      </c>
      <c r="C1140" s="10" t="s">
        <v>41</v>
      </c>
      <c r="D1140" s="7"/>
      <c r="E1140" s="7"/>
      <c r="F1140" s="7">
        <f t="shared" si="202"/>
        <v>0</v>
      </c>
      <c r="G1140" s="8"/>
      <c r="H1140" s="7">
        <f t="shared" si="201"/>
        <v>0</v>
      </c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9">
        <f t="shared" si="198"/>
        <v>0</v>
      </c>
      <c r="T1140" s="10">
        <f t="shared" si="199"/>
        <v>0</v>
      </c>
      <c r="U1140" s="10"/>
    </row>
    <row r="1141" spans="1:21">
      <c r="A1141" s="6"/>
      <c r="B1141" s="10" t="s">
        <v>64</v>
      </c>
      <c r="C1141" s="10" t="s">
        <v>41</v>
      </c>
      <c r="D1141" s="7"/>
      <c r="E1141" s="7"/>
      <c r="F1141" s="7">
        <f t="shared" si="202"/>
        <v>5</v>
      </c>
      <c r="G1141" s="8"/>
      <c r="H1141" s="7">
        <f t="shared" si="201"/>
        <v>0</v>
      </c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9">
        <f t="shared" si="198"/>
        <v>5</v>
      </c>
      <c r="T1141" s="10">
        <f t="shared" si="199"/>
        <v>0</v>
      </c>
      <c r="U1141" s="10"/>
    </row>
    <row r="1142" spans="1:21">
      <c r="A1142" s="6"/>
      <c r="B1142" s="11" t="s">
        <v>65</v>
      </c>
      <c r="C1142" s="7" t="s">
        <v>26</v>
      </c>
      <c r="D1142" s="7"/>
      <c r="E1142" s="7"/>
      <c r="F1142" s="7">
        <f t="shared" si="202"/>
        <v>0</v>
      </c>
      <c r="G1142" s="8"/>
      <c r="H1142" s="7">
        <f t="shared" si="201"/>
        <v>0</v>
      </c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9">
        <f t="shared" si="198"/>
        <v>0</v>
      </c>
      <c r="T1142" s="10">
        <f t="shared" si="199"/>
        <v>0</v>
      </c>
      <c r="U1142" s="10"/>
    </row>
    <row r="1143" spans="1:21">
      <c r="A1143" s="6"/>
      <c r="B1143" s="11" t="s">
        <v>66</v>
      </c>
      <c r="C1143" s="7" t="s">
        <v>26</v>
      </c>
      <c r="D1143" s="7"/>
      <c r="E1143" s="7"/>
      <c r="F1143" s="7">
        <f t="shared" si="202"/>
        <v>71</v>
      </c>
      <c r="G1143" s="8"/>
      <c r="H1143" s="7">
        <f t="shared" si="201"/>
        <v>0</v>
      </c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9">
        <f t="shared" si="198"/>
        <v>71</v>
      </c>
      <c r="T1143" s="10">
        <f t="shared" si="199"/>
        <v>0</v>
      </c>
      <c r="U1143" s="10"/>
    </row>
    <row r="1144" spans="1:21">
      <c r="A1144" s="6"/>
      <c r="B1144" s="11" t="s">
        <v>67</v>
      </c>
      <c r="C1144" s="7" t="s">
        <v>26</v>
      </c>
      <c r="D1144" s="7"/>
      <c r="E1144" s="7"/>
      <c r="F1144" s="7">
        <f t="shared" si="202"/>
        <v>0</v>
      </c>
      <c r="G1144" s="8"/>
      <c r="H1144" s="7">
        <f t="shared" si="201"/>
        <v>0</v>
      </c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9">
        <f t="shared" si="198"/>
        <v>0</v>
      </c>
      <c r="T1144" s="10">
        <f t="shared" si="199"/>
        <v>0</v>
      </c>
      <c r="U1144" s="10"/>
    </row>
    <row r="1145" spans="1:21">
      <c r="A1145" s="6"/>
      <c r="B1145" s="11" t="s">
        <v>68</v>
      </c>
      <c r="C1145" s="7" t="s">
        <v>26</v>
      </c>
      <c r="D1145" s="7"/>
      <c r="E1145" s="7"/>
      <c r="F1145" s="7">
        <f t="shared" si="202"/>
        <v>7</v>
      </c>
      <c r="G1145" s="8"/>
      <c r="H1145" s="7">
        <f t="shared" si="201"/>
        <v>0</v>
      </c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9">
        <f t="shared" si="198"/>
        <v>7</v>
      </c>
      <c r="T1145" s="10">
        <f t="shared" si="199"/>
        <v>0</v>
      </c>
      <c r="U1145" s="10"/>
    </row>
    <row r="1146" spans="1:21">
      <c r="A1146" s="6"/>
      <c r="B1146" s="11" t="s">
        <v>69</v>
      </c>
      <c r="C1146" s="7" t="s">
        <v>41</v>
      </c>
      <c r="D1146" s="7"/>
      <c r="E1146" s="7"/>
      <c r="F1146" s="7">
        <f t="shared" ref="F1146:F1160" si="203">S1061</f>
        <v>0</v>
      </c>
      <c r="G1146" s="8"/>
      <c r="H1146" s="7">
        <f t="shared" si="201"/>
        <v>0</v>
      </c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9">
        <f t="shared" si="198"/>
        <v>0</v>
      </c>
      <c r="T1146" s="10">
        <f t="shared" si="199"/>
        <v>0</v>
      </c>
      <c r="U1146" s="10"/>
    </row>
    <row r="1147" spans="1:21">
      <c r="A1147" s="6"/>
      <c r="B1147" s="11" t="s">
        <v>70</v>
      </c>
      <c r="C1147" s="7" t="s">
        <v>41</v>
      </c>
      <c r="D1147" s="7"/>
      <c r="E1147" s="7"/>
      <c r="F1147" s="7">
        <f t="shared" si="203"/>
        <v>13</v>
      </c>
      <c r="G1147" s="8"/>
      <c r="H1147" s="7">
        <f t="shared" si="201"/>
        <v>0</v>
      </c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9">
        <f t="shared" si="198"/>
        <v>13</v>
      </c>
      <c r="T1147" s="10">
        <f t="shared" si="199"/>
        <v>0</v>
      </c>
      <c r="U1147" s="10"/>
    </row>
    <row r="1148" spans="1:21">
      <c r="A1148" s="6"/>
      <c r="B1148" s="11" t="s">
        <v>71</v>
      </c>
      <c r="C1148" s="7" t="s">
        <v>61</v>
      </c>
      <c r="D1148" s="7"/>
      <c r="E1148" s="7"/>
      <c r="F1148" s="7">
        <f t="shared" si="203"/>
        <v>0</v>
      </c>
      <c r="G1148" s="8"/>
      <c r="H1148" s="7">
        <f t="shared" si="201"/>
        <v>0</v>
      </c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9">
        <f t="shared" si="198"/>
        <v>0</v>
      </c>
      <c r="T1148" s="10">
        <f t="shared" si="199"/>
        <v>0</v>
      </c>
      <c r="U1148" s="10"/>
    </row>
    <row r="1149" spans="1:21">
      <c r="A1149" s="6"/>
      <c r="B1149" s="11" t="s">
        <v>72</v>
      </c>
      <c r="C1149" s="7" t="s">
        <v>61</v>
      </c>
      <c r="D1149" s="7"/>
      <c r="E1149" s="7"/>
      <c r="F1149" s="7">
        <f t="shared" si="203"/>
        <v>8</v>
      </c>
      <c r="G1149" s="8"/>
      <c r="H1149" s="7">
        <f t="shared" si="201"/>
        <v>0</v>
      </c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9">
        <f t="shared" si="198"/>
        <v>8</v>
      </c>
      <c r="T1149" s="10">
        <f t="shared" si="199"/>
        <v>0</v>
      </c>
      <c r="U1149" s="10"/>
    </row>
    <row r="1150" spans="1:21">
      <c r="A1150" s="6"/>
      <c r="B1150" s="11" t="s">
        <v>73</v>
      </c>
      <c r="C1150" s="7" t="s">
        <v>26</v>
      </c>
      <c r="D1150" s="7"/>
      <c r="E1150" s="7"/>
      <c r="F1150" s="7">
        <f t="shared" si="203"/>
        <v>0</v>
      </c>
      <c r="G1150" s="8"/>
      <c r="H1150" s="7">
        <f t="shared" si="201"/>
        <v>0</v>
      </c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9">
        <f t="shared" si="198"/>
        <v>0</v>
      </c>
      <c r="T1150" s="10">
        <f t="shared" si="199"/>
        <v>0</v>
      </c>
      <c r="U1150" s="10"/>
    </row>
    <row r="1151" spans="1:21">
      <c r="A1151" s="6"/>
      <c r="B1151" s="11" t="s">
        <v>74</v>
      </c>
      <c r="C1151" s="7" t="s">
        <v>26</v>
      </c>
      <c r="D1151" s="7"/>
      <c r="E1151" s="7"/>
      <c r="F1151" s="7">
        <f t="shared" si="203"/>
        <v>22</v>
      </c>
      <c r="G1151" s="8"/>
      <c r="H1151" s="7">
        <f t="shared" si="201"/>
        <v>0</v>
      </c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9">
        <f t="shared" si="198"/>
        <v>22</v>
      </c>
      <c r="T1151" s="10">
        <f t="shared" si="199"/>
        <v>0</v>
      </c>
      <c r="U1151" s="10"/>
    </row>
    <row r="1152" spans="1:21">
      <c r="A1152" s="6"/>
      <c r="B1152" s="11" t="s">
        <v>75</v>
      </c>
      <c r="C1152" s="7" t="s">
        <v>26</v>
      </c>
      <c r="D1152" s="7"/>
      <c r="E1152" s="7"/>
      <c r="F1152" s="7">
        <f t="shared" si="203"/>
        <v>0</v>
      </c>
      <c r="G1152" s="8"/>
      <c r="H1152" s="7">
        <f t="shared" si="201"/>
        <v>0</v>
      </c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9">
        <f t="shared" si="198"/>
        <v>0</v>
      </c>
      <c r="T1152" s="10">
        <f t="shared" si="199"/>
        <v>0</v>
      </c>
      <c r="U1152" s="10"/>
    </row>
    <row r="1153" spans="1:21">
      <c r="A1153" s="6"/>
      <c r="B1153" s="11" t="s">
        <v>76</v>
      </c>
      <c r="C1153" s="7" t="s">
        <v>26</v>
      </c>
      <c r="D1153" s="7"/>
      <c r="E1153" s="7"/>
      <c r="F1153" s="7">
        <f t="shared" si="203"/>
        <v>20</v>
      </c>
      <c r="G1153" s="8"/>
      <c r="H1153" s="7">
        <f t="shared" si="201"/>
        <v>0</v>
      </c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9">
        <f t="shared" si="198"/>
        <v>20</v>
      </c>
      <c r="T1153" s="10">
        <f t="shared" si="199"/>
        <v>0</v>
      </c>
      <c r="U1153" s="10"/>
    </row>
    <row r="1154" spans="1:21">
      <c r="A1154" s="6"/>
      <c r="B1154" s="11" t="s">
        <v>77</v>
      </c>
      <c r="C1154" s="7" t="s">
        <v>61</v>
      </c>
      <c r="D1154" s="7"/>
      <c r="E1154" s="7"/>
      <c r="F1154" s="7">
        <f t="shared" si="203"/>
        <v>0</v>
      </c>
      <c r="G1154" s="8"/>
      <c r="H1154" s="7">
        <f t="shared" si="201"/>
        <v>0</v>
      </c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9">
        <f t="shared" si="198"/>
        <v>0</v>
      </c>
      <c r="T1154" s="10">
        <f t="shared" si="199"/>
        <v>0</v>
      </c>
      <c r="U1154" s="10"/>
    </row>
    <row r="1155" spans="1:21">
      <c r="A1155" s="6"/>
      <c r="B1155" s="11" t="s">
        <v>78</v>
      </c>
      <c r="C1155" s="7" t="s">
        <v>61</v>
      </c>
      <c r="D1155" s="7"/>
      <c r="E1155" s="7"/>
      <c r="F1155" s="7">
        <f t="shared" si="203"/>
        <v>69</v>
      </c>
      <c r="G1155" s="8"/>
      <c r="H1155" s="7">
        <f t="shared" si="201"/>
        <v>0</v>
      </c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9">
        <f t="shared" si="198"/>
        <v>69</v>
      </c>
      <c r="T1155" s="10">
        <f t="shared" si="199"/>
        <v>0</v>
      </c>
      <c r="U1155" s="10"/>
    </row>
    <row r="1156" spans="1:21">
      <c r="A1156" s="6"/>
      <c r="B1156" s="11" t="s">
        <v>105</v>
      </c>
      <c r="C1156" s="7" t="s">
        <v>26</v>
      </c>
      <c r="D1156" s="7"/>
      <c r="E1156" s="7"/>
      <c r="F1156" s="7">
        <f t="shared" si="203"/>
        <v>530</v>
      </c>
      <c r="G1156" s="8"/>
      <c r="H1156" s="7">
        <f t="shared" si="201"/>
        <v>0</v>
      </c>
      <c r="I1156" s="7"/>
      <c r="J1156" s="7">
        <v>120</v>
      </c>
      <c r="K1156" s="7"/>
      <c r="L1156" s="7"/>
      <c r="M1156" s="7"/>
      <c r="N1156" s="7"/>
      <c r="O1156" s="7"/>
      <c r="P1156" s="7"/>
      <c r="Q1156" s="7"/>
      <c r="R1156" s="7"/>
      <c r="S1156" s="9">
        <f t="shared" si="198"/>
        <v>410</v>
      </c>
      <c r="T1156" s="10">
        <f t="shared" si="199"/>
        <v>0</v>
      </c>
      <c r="U1156" s="10"/>
    </row>
    <row r="1157" spans="1:21">
      <c r="A1157" s="6"/>
      <c r="B1157" s="11" t="s">
        <v>80</v>
      </c>
      <c r="C1157" s="7" t="s">
        <v>26</v>
      </c>
      <c r="D1157" s="7"/>
      <c r="E1157" s="7"/>
      <c r="F1157" s="7">
        <f t="shared" si="203"/>
        <v>663</v>
      </c>
      <c r="G1157" s="8"/>
      <c r="H1157" s="7">
        <f t="shared" si="201"/>
        <v>0</v>
      </c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9">
        <f t="shared" si="198"/>
        <v>663</v>
      </c>
      <c r="T1157" s="10">
        <f t="shared" si="199"/>
        <v>0</v>
      </c>
      <c r="U1157" s="10"/>
    </row>
    <row r="1158" spans="1:21">
      <c r="A1158" s="6"/>
      <c r="B1158" s="11" t="s">
        <v>81</v>
      </c>
      <c r="C1158" s="7" t="s">
        <v>26</v>
      </c>
      <c r="D1158" s="7"/>
      <c r="E1158" s="7"/>
      <c r="F1158" s="7">
        <f t="shared" ref="F1158:F1171" si="204">S1073</f>
        <v>0</v>
      </c>
      <c r="G1158" s="8"/>
      <c r="H1158" s="7">
        <f t="shared" si="201"/>
        <v>0</v>
      </c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9">
        <f t="shared" si="198"/>
        <v>0</v>
      </c>
      <c r="T1158" s="10">
        <f t="shared" si="199"/>
        <v>0</v>
      </c>
      <c r="U1158" s="10"/>
    </row>
    <row r="1159" spans="1:21">
      <c r="A1159" s="6"/>
      <c r="B1159" s="11" t="s">
        <v>82</v>
      </c>
      <c r="C1159" s="7" t="s">
        <v>26</v>
      </c>
      <c r="D1159" s="7"/>
      <c r="E1159" s="7"/>
      <c r="F1159" s="7">
        <f t="shared" si="204"/>
        <v>14</v>
      </c>
      <c r="G1159" s="8"/>
      <c r="H1159" s="7">
        <f t="shared" si="201"/>
        <v>0</v>
      </c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9">
        <f t="shared" si="198"/>
        <v>14</v>
      </c>
      <c r="T1159" s="10">
        <f t="shared" si="199"/>
        <v>0</v>
      </c>
      <c r="U1159" s="10"/>
    </row>
    <row r="1160" spans="1:21">
      <c r="A1160" s="6"/>
      <c r="B1160" s="11" t="s">
        <v>83</v>
      </c>
      <c r="C1160" s="7" t="s">
        <v>26</v>
      </c>
      <c r="D1160" s="7"/>
      <c r="E1160" s="7"/>
      <c r="F1160" s="7">
        <f t="shared" si="204"/>
        <v>0</v>
      </c>
      <c r="G1160" s="8"/>
      <c r="H1160" s="7">
        <f t="shared" si="201"/>
        <v>0</v>
      </c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9">
        <f t="shared" si="198"/>
        <v>0</v>
      </c>
      <c r="T1160" s="10">
        <f t="shared" si="199"/>
        <v>0</v>
      </c>
      <c r="U1160" s="10"/>
    </row>
    <row r="1161" spans="1:21">
      <c r="A1161" s="6"/>
      <c r="B1161" s="11" t="s">
        <v>84</v>
      </c>
      <c r="C1161" s="7" t="s">
        <v>26</v>
      </c>
      <c r="D1161" s="7"/>
      <c r="E1161" s="7"/>
      <c r="F1161" s="7">
        <f t="shared" si="204"/>
        <v>28</v>
      </c>
      <c r="G1161" s="8"/>
      <c r="H1161" s="7">
        <f t="shared" si="201"/>
        <v>0</v>
      </c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9">
        <f t="shared" si="198"/>
        <v>28</v>
      </c>
      <c r="T1161" s="10">
        <f t="shared" si="199"/>
        <v>0</v>
      </c>
      <c r="U1161" s="10"/>
    </row>
    <row r="1162" spans="1:21">
      <c r="A1162" s="6"/>
      <c r="B1162" s="11" t="s">
        <v>85</v>
      </c>
      <c r="C1162" s="7" t="s">
        <v>61</v>
      </c>
      <c r="D1162" s="7"/>
      <c r="E1162" s="7"/>
      <c r="F1162" s="7">
        <f t="shared" si="204"/>
        <v>0</v>
      </c>
      <c r="G1162" s="8"/>
      <c r="H1162" s="7">
        <f t="shared" si="201"/>
        <v>0</v>
      </c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9">
        <f t="shared" si="198"/>
        <v>0</v>
      </c>
      <c r="T1162" s="10">
        <f t="shared" si="199"/>
        <v>0</v>
      </c>
      <c r="U1162" s="10"/>
    </row>
    <row r="1163" spans="1:21">
      <c r="A1163" s="6"/>
      <c r="B1163" s="11" t="s">
        <v>86</v>
      </c>
      <c r="C1163" s="7" t="s">
        <v>61</v>
      </c>
      <c r="D1163" s="7"/>
      <c r="E1163" s="7"/>
      <c r="F1163" s="7">
        <f t="shared" si="204"/>
        <v>10</v>
      </c>
      <c r="G1163" s="8"/>
      <c r="H1163" s="7">
        <f t="shared" si="201"/>
        <v>0</v>
      </c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9">
        <f t="shared" ref="S1163:S1222" si="205">F1163+G1163-J1163-K1163-L1163+M1163+O1163-P1163-R1163</f>
        <v>10</v>
      </c>
      <c r="T1163" s="10">
        <f t="shared" ref="T1163:T1222" si="206">H1163+I1163+N1163+R1163-Q1163</f>
        <v>0</v>
      </c>
      <c r="U1163" s="10"/>
    </row>
    <row r="1164" spans="1:21">
      <c r="A1164" s="6"/>
      <c r="B1164" s="11" t="s">
        <v>87</v>
      </c>
      <c r="C1164" s="7" t="s">
        <v>26</v>
      </c>
      <c r="D1164" s="7"/>
      <c r="E1164" s="7"/>
      <c r="F1164" s="7">
        <f t="shared" si="204"/>
        <v>0</v>
      </c>
      <c r="G1164" s="8"/>
      <c r="H1164" s="7">
        <f t="shared" si="201"/>
        <v>0</v>
      </c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9">
        <f t="shared" si="205"/>
        <v>0</v>
      </c>
      <c r="T1164" s="10">
        <f t="shared" si="206"/>
        <v>0</v>
      </c>
      <c r="U1164" s="10"/>
    </row>
    <row r="1165" spans="1:21">
      <c r="A1165" s="6"/>
      <c r="B1165" s="11" t="s">
        <v>88</v>
      </c>
      <c r="C1165" s="10"/>
      <c r="D1165" s="7"/>
      <c r="E1165" s="7"/>
      <c r="F1165" s="7">
        <f t="shared" si="204"/>
        <v>37</v>
      </c>
      <c r="G1165" s="8"/>
      <c r="H1165" s="7">
        <f t="shared" si="201"/>
        <v>0</v>
      </c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9">
        <f t="shared" si="205"/>
        <v>37</v>
      </c>
      <c r="T1165" s="10">
        <f t="shared" si="206"/>
        <v>0</v>
      </c>
      <c r="U1165" s="10"/>
    </row>
    <row r="1166" spans="1:21">
      <c r="A1166" s="6"/>
      <c r="B1166" s="11" t="s">
        <v>89</v>
      </c>
      <c r="C1166" s="7" t="s">
        <v>26</v>
      </c>
      <c r="D1166" s="7"/>
      <c r="E1166" s="7"/>
      <c r="F1166" s="7">
        <f t="shared" si="204"/>
        <v>858</v>
      </c>
      <c r="G1166" s="8"/>
      <c r="H1166" s="7">
        <f t="shared" si="201"/>
        <v>0</v>
      </c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9">
        <f t="shared" si="205"/>
        <v>858</v>
      </c>
      <c r="T1166" s="10">
        <f t="shared" si="206"/>
        <v>0</v>
      </c>
      <c r="U1166" s="10"/>
    </row>
    <row r="1167" spans="1:21">
      <c r="A1167" s="6"/>
      <c r="B1167" s="11" t="s">
        <v>90</v>
      </c>
      <c r="C1167" s="7" t="s">
        <v>26</v>
      </c>
      <c r="D1167" s="7"/>
      <c r="E1167" s="7"/>
      <c r="F1167" s="7">
        <f t="shared" ref="F1167:F1181" si="207">S1082</f>
        <v>0</v>
      </c>
      <c r="G1167" s="8"/>
      <c r="H1167" s="7">
        <f t="shared" si="201"/>
        <v>0</v>
      </c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9">
        <f t="shared" si="205"/>
        <v>0</v>
      </c>
      <c r="T1167" s="10">
        <f t="shared" si="206"/>
        <v>0</v>
      </c>
      <c r="U1167" s="10"/>
    </row>
    <row r="1168" spans="1:21">
      <c r="A1168" s="6"/>
      <c r="B1168" s="11" t="s">
        <v>91</v>
      </c>
      <c r="C1168" s="7" t="s">
        <v>26</v>
      </c>
      <c r="D1168" s="7"/>
      <c r="E1168" s="7"/>
      <c r="F1168" s="7">
        <f t="shared" si="207"/>
        <v>138</v>
      </c>
      <c r="G1168" s="8"/>
      <c r="H1168" s="7">
        <f t="shared" si="201"/>
        <v>0</v>
      </c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9">
        <f t="shared" si="205"/>
        <v>138</v>
      </c>
      <c r="T1168" s="10">
        <f t="shared" si="206"/>
        <v>0</v>
      </c>
      <c r="U1168" s="10"/>
    </row>
    <row r="1169" spans="1:21">
      <c r="A1169" s="6"/>
      <c r="B1169" s="12" t="s">
        <v>92</v>
      </c>
      <c r="C1169" s="13" t="s">
        <v>26</v>
      </c>
      <c r="D1169" s="7"/>
      <c r="E1169" s="7"/>
      <c r="F1169" s="7">
        <f t="shared" si="207"/>
        <v>2029</v>
      </c>
      <c r="G1169" s="8"/>
      <c r="H1169" s="7">
        <f t="shared" si="201"/>
        <v>0</v>
      </c>
      <c r="I1169" s="7"/>
      <c r="J1169" s="7">
        <v>240</v>
      </c>
      <c r="K1169" s="7"/>
      <c r="L1169" s="7"/>
      <c r="M1169" s="7"/>
      <c r="N1169" s="7"/>
      <c r="O1169" s="7"/>
      <c r="P1169" s="7"/>
      <c r="Q1169" s="7"/>
      <c r="R1169" s="7"/>
      <c r="S1169" s="9">
        <f t="shared" si="205"/>
        <v>1789</v>
      </c>
      <c r="T1169" s="10">
        <f t="shared" si="206"/>
        <v>0</v>
      </c>
      <c r="U1169" s="10"/>
    </row>
    <row r="1170" spans="1:21">
      <c r="A1170" s="6"/>
      <c r="B1170" s="12" t="s">
        <v>93</v>
      </c>
      <c r="C1170" s="13" t="s">
        <v>26</v>
      </c>
      <c r="D1170" s="7"/>
      <c r="E1170" s="7"/>
      <c r="F1170" s="7">
        <f t="shared" si="207"/>
        <v>2820</v>
      </c>
      <c r="G1170" s="8"/>
      <c r="H1170" s="7">
        <f t="shared" si="201"/>
        <v>0</v>
      </c>
      <c r="I1170" s="7"/>
      <c r="J1170" s="7"/>
      <c r="K1170" s="7"/>
      <c r="L1170" s="7"/>
      <c r="M1170" s="7">
        <v>24</v>
      </c>
      <c r="N1170" s="7"/>
      <c r="O1170" s="7"/>
      <c r="P1170" s="7"/>
      <c r="Q1170" s="7"/>
      <c r="R1170" s="7"/>
      <c r="S1170" s="9">
        <f t="shared" si="205"/>
        <v>2844</v>
      </c>
      <c r="T1170" s="10">
        <f t="shared" si="206"/>
        <v>0</v>
      </c>
      <c r="U1170" s="10"/>
    </row>
    <row r="1171" spans="1:21">
      <c r="A1171" s="6"/>
      <c r="B1171" s="11" t="s">
        <v>94</v>
      </c>
      <c r="C1171" s="7" t="s">
        <v>41</v>
      </c>
      <c r="D1171" s="7"/>
      <c r="E1171" s="7"/>
      <c r="F1171" s="7">
        <f t="shared" si="207"/>
        <v>0</v>
      </c>
      <c r="G1171" s="8"/>
      <c r="H1171" s="7">
        <f t="shared" si="201"/>
        <v>0</v>
      </c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9">
        <f t="shared" si="205"/>
        <v>0</v>
      </c>
      <c r="T1171" s="10">
        <f t="shared" si="206"/>
        <v>0</v>
      </c>
      <c r="U1171" s="10"/>
    </row>
    <row r="1172" spans="1:21">
      <c r="A1172" s="6"/>
      <c r="B1172" s="11" t="s">
        <v>95</v>
      </c>
      <c r="C1172" s="7" t="s">
        <v>41</v>
      </c>
      <c r="D1172" s="7"/>
      <c r="E1172" s="7"/>
      <c r="F1172" s="7">
        <f t="shared" si="207"/>
        <v>39</v>
      </c>
      <c r="G1172" s="8"/>
      <c r="H1172" s="7">
        <f t="shared" si="201"/>
        <v>0</v>
      </c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9">
        <f t="shared" si="205"/>
        <v>39</v>
      </c>
      <c r="T1172" s="10">
        <f t="shared" si="206"/>
        <v>0</v>
      </c>
      <c r="U1172" s="10"/>
    </row>
    <row r="1173" spans="1:21">
      <c r="A1173" s="6"/>
      <c r="B1173" s="11" t="s">
        <v>96</v>
      </c>
      <c r="C1173" s="7" t="s">
        <v>41</v>
      </c>
      <c r="D1173" s="7"/>
      <c r="E1173" s="7"/>
      <c r="F1173" s="7">
        <f t="shared" si="207"/>
        <v>0</v>
      </c>
      <c r="G1173" s="8"/>
      <c r="H1173" s="7">
        <f t="shared" si="201"/>
        <v>0</v>
      </c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9">
        <f t="shared" si="205"/>
        <v>0</v>
      </c>
      <c r="T1173" s="10">
        <f t="shared" si="206"/>
        <v>0</v>
      </c>
      <c r="U1173" s="10"/>
    </row>
    <row r="1174" spans="1:21">
      <c r="A1174" s="6"/>
      <c r="B1174" s="11" t="s">
        <v>97</v>
      </c>
      <c r="C1174" s="7" t="s">
        <v>41</v>
      </c>
      <c r="D1174" s="7"/>
      <c r="E1174" s="7"/>
      <c r="F1174" s="7">
        <f t="shared" si="207"/>
        <v>0</v>
      </c>
      <c r="G1174" s="8"/>
      <c r="H1174" s="7">
        <f t="shared" si="201"/>
        <v>0</v>
      </c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9">
        <f t="shared" si="205"/>
        <v>0</v>
      </c>
      <c r="T1174" s="10">
        <f t="shared" si="206"/>
        <v>0</v>
      </c>
      <c r="U1174" s="10"/>
    </row>
    <row r="1175" spans="1:21">
      <c r="A1175" s="6"/>
      <c r="B1175" s="11" t="s">
        <v>98</v>
      </c>
      <c r="C1175" s="7" t="s">
        <v>26</v>
      </c>
      <c r="D1175" s="7"/>
      <c r="E1175" s="7"/>
      <c r="F1175" s="7">
        <f t="shared" ref="F1175:F1191" si="208">S1090</f>
        <v>1185</v>
      </c>
      <c r="G1175" s="8"/>
      <c r="H1175" s="7">
        <f t="shared" si="201"/>
        <v>0</v>
      </c>
      <c r="I1175" s="7"/>
      <c r="J1175" s="7">
        <v>120</v>
      </c>
      <c r="K1175" s="7"/>
      <c r="L1175" s="7"/>
      <c r="M1175" s="7"/>
      <c r="N1175" s="7"/>
      <c r="O1175" s="7"/>
      <c r="P1175" s="7"/>
      <c r="Q1175" s="7"/>
      <c r="R1175" s="7"/>
      <c r="S1175" s="9">
        <f t="shared" si="205"/>
        <v>1065</v>
      </c>
      <c r="T1175" s="10">
        <f t="shared" si="206"/>
        <v>0</v>
      </c>
      <c r="U1175" s="10"/>
    </row>
    <row r="1176" spans="1:21">
      <c r="A1176" s="6"/>
      <c r="B1176" s="11" t="s">
        <v>99</v>
      </c>
      <c r="C1176" s="7" t="s">
        <v>26</v>
      </c>
      <c r="D1176" s="7"/>
      <c r="E1176" s="7"/>
      <c r="F1176" s="7">
        <f t="shared" si="208"/>
        <v>1214</v>
      </c>
      <c r="G1176" s="8"/>
      <c r="H1176" s="7">
        <f t="shared" si="201"/>
        <v>0</v>
      </c>
      <c r="I1176" s="7"/>
      <c r="J1176" s="7"/>
      <c r="K1176" s="7"/>
      <c r="L1176" s="7"/>
      <c r="M1176" s="7">
        <v>23</v>
      </c>
      <c r="N1176" s="7"/>
      <c r="O1176" s="7"/>
      <c r="P1176" s="7"/>
      <c r="Q1176" s="7"/>
      <c r="R1176" s="7"/>
      <c r="S1176" s="9">
        <f t="shared" si="205"/>
        <v>1237</v>
      </c>
      <c r="T1176" s="10">
        <f t="shared" si="206"/>
        <v>0</v>
      </c>
      <c r="U1176" s="10"/>
    </row>
    <row r="1177" spans="1:21">
      <c r="A1177" s="6"/>
      <c r="B1177" s="11" t="s">
        <v>100</v>
      </c>
      <c r="C1177" s="7" t="s">
        <v>26</v>
      </c>
      <c r="D1177" s="7"/>
      <c r="E1177" s="7"/>
      <c r="F1177" s="7">
        <f t="shared" si="208"/>
        <v>669</v>
      </c>
      <c r="G1177" s="8"/>
      <c r="H1177" s="7">
        <f t="shared" si="201"/>
        <v>0</v>
      </c>
      <c r="I1177" s="7"/>
      <c r="J1177" s="7">
        <v>72</v>
      </c>
      <c r="K1177" s="7"/>
      <c r="L1177" s="7"/>
      <c r="M1177" s="7"/>
      <c r="N1177" s="7"/>
      <c r="O1177" s="7"/>
      <c r="P1177" s="7"/>
      <c r="Q1177" s="7"/>
      <c r="R1177" s="7"/>
      <c r="S1177" s="9">
        <f t="shared" si="205"/>
        <v>597</v>
      </c>
      <c r="T1177" s="10">
        <f t="shared" si="206"/>
        <v>0</v>
      </c>
      <c r="U1177" s="10"/>
    </row>
    <row r="1178" spans="1:21">
      <c r="A1178" s="6"/>
      <c r="B1178" s="11" t="s">
        <v>101</v>
      </c>
      <c r="C1178" s="7" t="s">
        <v>26</v>
      </c>
      <c r="D1178" s="7"/>
      <c r="E1178" s="7"/>
      <c r="F1178" s="7">
        <f t="shared" si="208"/>
        <v>352</v>
      </c>
      <c r="G1178" s="8"/>
      <c r="H1178" s="7">
        <f t="shared" si="201"/>
        <v>0</v>
      </c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9">
        <f t="shared" si="205"/>
        <v>352</v>
      </c>
      <c r="T1178" s="10">
        <f t="shared" si="206"/>
        <v>0</v>
      </c>
      <c r="U1178" s="10"/>
    </row>
    <row r="1179" spans="1:21">
      <c r="A1179" s="6"/>
      <c r="B1179" s="11" t="s">
        <v>102</v>
      </c>
      <c r="C1179" s="7" t="s">
        <v>26</v>
      </c>
      <c r="D1179" s="7"/>
      <c r="E1179" s="7"/>
      <c r="F1179" s="7">
        <f t="shared" si="208"/>
        <v>786</v>
      </c>
      <c r="G1179" s="8"/>
      <c r="H1179" s="7">
        <f t="shared" si="201"/>
        <v>0</v>
      </c>
      <c r="I1179" s="7"/>
      <c r="J1179" s="7">
        <v>24</v>
      </c>
      <c r="K1179" s="7">
        <v>20</v>
      </c>
      <c r="L1179" s="7"/>
      <c r="M1179" s="7"/>
      <c r="N1179" s="7"/>
      <c r="O1179" s="7"/>
      <c r="P1179" s="7"/>
      <c r="Q1179" s="7"/>
      <c r="R1179" s="7"/>
      <c r="S1179" s="9">
        <f t="shared" si="205"/>
        <v>742</v>
      </c>
      <c r="T1179" s="10">
        <f t="shared" si="206"/>
        <v>0</v>
      </c>
      <c r="U1179" s="10"/>
    </row>
    <row r="1180" spans="1:21">
      <c r="A1180" s="6"/>
      <c r="B1180" s="11" t="s">
        <v>103</v>
      </c>
      <c r="C1180" s="7" t="s">
        <v>26</v>
      </c>
      <c r="D1180" s="7"/>
      <c r="E1180" s="7"/>
      <c r="F1180" s="7">
        <f t="shared" si="208"/>
        <v>303</v>
      </c>
      <c r="G1180" s="8"/>
      <c r="H1180" s="7">
        <f t="shared" si="201"/>
        <v>0</v>
      </c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9">
        <f t="shared" si="205"/>
        <v>303</v>
      </c>
      <c r="T1180" s="10">
        <f t="shared" si="206"/>
        <v>0</v>
      </c>
      <c r="U1180" s="10"/>
    </row>
    <row r="1181" spans="1:21">
      <c r="A1181" s="6"/>
      <c r="B1181" s="11" t="s">
        <v>112</v>
      </c>
      <c r="C1181" s="7" t="s">
        <v>113</v>
      </c>
      <c r="D1181" s="7"/>
      <c r="E1181" s="7"/>
      <c r="F1181" s="7">
        <f t="shared" si="208"/>
        <v>1383</v>
      </c>
      <c r="G1181" s="8"/>
      <c r="H1181" s="7">
        <f t="shared" si="201"/>
        <v>0</v>
      </c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9">
        <f t="shared" si="205"/>
        <v>1383</v>
      </c>
      <c r="T1181" s="10">
        <f t="shared" si="206"/>
        <v>0</v>
      </c>
      <c r="U1181" s="10"/>
    </row>
    <row r="1182" spans="1:21">
      <c r="A1182" s="6"/>
      <c r="B1182" s="11"/>
      <c r="C1182" s="7"/>
      <c r="D1182" s="7"/>
      <c r="E1182" s="7"/>
      <c r="F1182" s="7">
        <f t="shared" si="208"/>
        <v>0</v>
      </c>
      <c r="G1182" s="8"/>
      <c r="H1182" s="7">
        <f t="shared" si="201"/>
        <v>0</v>
      </c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9">
        <f t="shared" si="205"/>
        <v>0</v>
      </c>
      <c r="T1182" s="10">
        <f t="shared" si="206"/>
        <v>0</v>
      </c>
      <c r="U1182" s="10"/>
    </row>
    <row r="1183" spans="1:21">
      <c r="A1183" s="6"/>
      <c r="B1183" s="11"/>
      <c r="C1183" s="7"/>
      <c r="D1183" s="7"/>
      <c r="E1183" s="7"/>
      <c r="F1183" s="7">
        <f t="shared" si="208"/>
        <v>0</v>
      </c>
      <c r="G1183" s="8"/>
      <c r="H1183" s="7">
        <f t="shared" si="201"/>
        <v>0</v>
      </c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9">
        <f t="shared" si="205"/>
        <v>0</v>
      </c>
      <c r="T1183" s="10">
        <f t="shared" si="206"/>
        <v>0</v>
      </c>
      <c r="U1183" s="10"/>
    </row>
    <row r="1184" spans="1:21">
      <c r="A1184" s="6"/>
      <c r="B1184" s="11"/>
      <c r="C1184" s="7"/>
      <c r="D1184" s="7"/>
      <c r="E1184" s="7"/>
      <c r="F1184" s="7">
        <f t="shared" si="208"/>
        <v>0</v>
      </c>
      <c r="G1184" s="8"/>
      <c r="H1184" s="7">
        <f t="shared" si="201"/>
        <v>0</v>
      </c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9">
        <f t="shared" si="205"/>
        <v>0</v>
      </c>
      <c r="T1184" s="10">
        <f t="shared" si="206"/>
        <v>0</v>
      </c>
      <c r="U1184" s="10"/>
    </row>
    <row r="1185" spans="1:25">
      <c r="A1185" s="6"/>
      <c r="B1185" s="11"/>
      <c r="C1185" s="7"/>
      <c r="D1185" s="7"/>
      <c r="E1185" s="7"/>
      <c r="F1185" s="7">
        <f t="shared" si="208"/>
        <v>0</v>
      </c>
      <c r="G1185" s="8"/>
      <c r="H1185" s="7">
        <f t="shared" si="201"/>
        <v>0</v>
      </c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9">
        <f t="shared" si="205"/>
        <v>0</v>
      </c>
      <c r="T1185" s="10">
        <f t="shared" si="206"/>
        <v>0</v>
      </c>
      <c r="U1185" s="10"/>
    </row>
    <row r="1186" spans="1:25">
      <c r="A1186" s="6"/>
      <c r="B1186" s="11"/>
      <c r="C1186" s="7"/>
      <c r="D1186" s="7"/>
      <c r="E1186" s="7"/>
      <c r="F1186" s="7">
        <f t="shared" si="208"/>
        <v>0</v>
      </c>
      <c r="G1186" s="8"/>
      <c r="H1186" s="7">
        <f t="shared" si="201"/>
        <v>0</v>
      </c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9">
        <f t="shared" si="205"/>
        <v>0</v>
      </c>
      <c r="T1186" s="10">
        <f t="shared" si="206"/>
        <v>0</v>
      </c>
      <c r="U1186" s="10"/>
    </row>
    <row r="1187" spans="1:25">
      <c r="A1187" s="6"/>
      <c r="B1187" s="11"/>
      <c r="C1187" s="7"/>
      <c r="D1187" s="7"/>
      <c r="E1187" s="7"/>
      <c r="F1187" s="7">
        <f t="shared" si="208"/>
        <v>0</v>
      </c>
      <c r="G1187" s="8"/>
      <c r="H1187" s="7">
        <f t="shared" si="201"/>
        <v>0</v>
      </c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9">
        <f t="shared" si="205"/>
        <v>0</v>
      </c>
      <c r="T1187" s="10">
        <f t="shared" si="206"/>
        <v>0</v>
      </c>
      <c r="U1187" s="10"/>
    </row>
    <row r="1188" spans="1:25">
      <c r="A1188" s="6"/>
      <c r="B1188" s="11"/>
      <c r="C1188" s="7"/>
      <c r="D1188" s="7"/>
      <c r="E1188" s="7"/>
      <c r="F1188" s="7">
        <f t="shared" si="208"/>
        <v>0</v>
      </c>
      <c r="G1188" s="8"/>
      <c r="H1188" s="7">
        <f t="shared" ref="H1188:H1201" si="209">T1103</f>
        <v>0</v>
      </c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9">
        <f t="shared" si="205"/>
        <v>0</v>
      </c>
      <c r="T1188" s="10">
        <f t="shared" si="206"/>
        <v>0</v>
      </c>
      <c r="U1188" s="10"/>
    </row>
    <row r="1189" spans="1:25">
      <c r="A1189" s="6"/>
      <c r="B1189" s="11"/>
      <c r="C1189" s="7"/>
      <c r="D1189" s="7"/>
      <c r="E1189" s="7"/>
      <c r="F1189" s="7">
        <f t="shared" si="208"/>
        <v>0</v>
      </c>
      <c r="G1189" s="8"/>
      <c r="H1189" s="7">
        <f t="shared" si="209"/>
        <v>0</v>
      </c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9">
        <f t="shared" si="205"/>
        <v>0</v>
      </c>
      <c r="T1189" s="10">
        <f t="shared" si="206"/>
        <v>0</v>
      </c>
      <c r="U1189" s="10"/>
    </row>
    <row r="1190" spans="1:25">
      <c r="A1190" s="6"/>
      <c r="B1190" s="11"/>
      <c r="C1190" s="7"/>
      <c r="D1190" s="7"/>
      <c r="E1190" s="7"/>
      <c r="F1190" s="7">
        <f t="shared" si="208"/>
        <v>0</v>
      </c>
      <c r="G1190" s="8"/>
      <c r="H1190" s="7">
        <f t="shared" si="209"/>
        <v>0</v>
      </c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9">
        <f t="shared" si="205"/>
        <v>0</v>
      </c>
      <c r="T1190" s="10">
        <f t="shared" si="206"/>
        <v>0</v>
      </c>
      <c r="U1190" s="10"/>
    </row>
    <row r="1191" spans="1:25">
      <c r="A1191" s="6"/>
      <c r="B1191" s="11"/>
      <c r="C1191" s="7"/>
      <c r="D1191" s="7"/>
      <c r="E1191" s="7"/>
      <c r="F1191" s="7">
        <f t="shared" si="208"/>
        <v>0</v>
      </c>
      <c r="G1191" s="8"/>
      <c r="H1191" s="7">
        <f t="shared" si="209"/>
        <v>0</v>
      </c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9">
        <f t="shared" si="205"/>
        <v>0</v>
      </c>
      <c r="T1191" s="10">
        <f t="shared" si="206"/>
        <v>0</v>
      </c>
      <c r="U1191" s="10"/>
      <c r="V1191">
        <f>X1191*0.1</f>
        <v>0</v>
      </c>
      <c r="W1191">
        <f>E1191*S1191*1.5</f>
        <v>0</v>
      </c>
      <c r="X1191">
        <f>J1191+K1191</f>
        <v>0</v>
      </c>
      <c r="Y1191">
        <f>X1191*0.13</f>
        <v>0</v>
      </c>
    </row>
    <row r="1192" spans="1:25">
      <c r="A1192" s="6">
        <v>46157</v>
      </c>
      <c r="B1192" t="s">
        <v>25</v>
      </c>
      <c r="C1192" s="7" t="s">
        <v>26</v>
      </c>
      <c r="D1192" s="7"/>
      <c r="E1192" s="7"/>
      <c r="F1192" s="7">
        <f t="shared" ref="F1191:F1203" si="210">S1107</f>
        <v>1665</v>
      </c>
      <c r="G1192" s="8"/>
      <c r="H1192" s="7">
        <f t="shared" si="209"/>
        <v>0</v>
      </c>
      <c r="I1192" s="7"/>
      <c r="J1192" s="7">
        <v>98</v>
      </c>
      <c r="K1192" s="7">
        <v>10</v>
      </c>
      <c r="L1192" s="7"/>
      <c r="M1192" s="7"/>
      <c r="N1192" s="7"/>
      <c r="O1192" s="7"/>
      <c r="P1192" s="7"/>
      <c r="Q1192" s="7"/>
      <c r="R1192" s="7"/>
      <c r="S1192" s="9">
        <f t="shared" si="205"/>
        <v>1557</v>
      </c>
      <c r="T1192" s="10">
        <f t="shared" si="206"/>
        <v>0</v>
      </c>
      <c r="U1192" s="10"/>
      <c r="V1192">
        <f t="shared" ref="V1192:V1198" si="211">X1192*0.1</f>
        <v>10.8</v>
      </c>
      <c r="W1192">
        <f t="shared" ref="W1192:W1201" si="212">E1192*S1192*1.5</f>
        <v>0</v>
      </c>
      <c r="X1192">
        <f t="shared" ref="X1192:X1198" si="213">J1192+K1192</f>
        <v>108</v>
      </c>
      <c r="Y1192">
        <f t="shared" ref="Y1192:Y1198" si="214">X1192*0.13</f>
        <v>14.04</v>
      </c>
    </row>
    <row r="1193" spans="1:25">
      <c r="A1193" s="6"/>
      <c r="B1193" t="s">
        <v>27</v>
      </c>
      <c r="C1193" s="7" t="s">
        <v>26</v>
      </c>
      <c r="D1193" s="7"/>
      <c r="E1193" s="7"/>
      <c r="F1193" s="7">
        <f t="shared" si="210"/>
        <v>609</v>
      </c>
      <c r="G1193" s="8"/>
      <c r="H1193" s="7">
        <f t="shared" si="209"/>
        <v>0</v>
      </c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9">
        <f t="shared" si="205"/>
        <v>609</v>
      </c>
      <c r="T1193" s="10">
        <f t="shared" si="206"/>
        <v>0</v>
      </c>
      <c r="U1193" s="10"/>
      <c r="V1193">
        <f t="shared" si="211"/>
        <v>0</v>
      </c>
      <c r="W1193">
        <f t="shared" si="212"/>
        <v>0</v>
      </c>
      <c r="X1193">
        <f t="shared" si="213"/>
        <v>0</v>
      </c>
      <c r="Y1193">
        <f t="shared" si="214"/>
        <v>0</v>
      </c>
    </row>
    <row r="1194" spans="1:25">
      <c r="A1194" s="6"/>
      <c r="B1194" s="6" t="s">
        <v>28</v>
      </c>
      <c r="C1194" s="7" t="s">
        <v>26</v>
      </c>
      <c r="D1194" s="7"/>
      <c r="E1194" s="7"/>
      <c r="F1194" s="7">
        <f t="shared" si="210"/>
        <v>1037</v>
      </c>
      <c r="G1194" s="8"/>
      <c r="H1194" s="7">
        <f t="shared" si="209"/>
        <v>0</v>
      </c>
      <c r="I1194" s="7"/>
      <c r="J1194" s="7">
        <v>93</v>
      </c>
      <c r="K1194" s="7"/>
      <c r="L1194" s="7"/>
      <c r="M1194" s="7">
        <v>2</v>
      </c>
      <c r="N1194" s="7"/>
      <c r="O1194" s="7"/>
      <c r="P1194" s="7"/>
      <c r="Q1194" s="7"/>
      <c r="R1194" s="7"/>
      <c r="S1194" s="9">
        <f t="shared" si="205"/>
        <v>946</v>
      </c>
      <c r="T1194" s="10">
        <f t="shared" si="206"/>
        <v>0</v>
      </c>
      <c r="U1194" s="10"/>
      <c r="V1194">
        <f t="shared" si="211"/>
        <v>9.3</v>
      </c>
      <c r="W1194">
        <f t="shared" si="212"/>
        <v>0</v>
      </c>
      <c r="X1194">
        <f t="shared" si="213"/>
        <v>93</v>
      </c>
      <c r="Y1194">
        <f t="shared" si="214"/>
        <v>12.09</v>
      </c>
    </row>
    <row r="1195" spans="1:25">
      <c r="A1195" s="6"/>
      <c r="B1195" s="6" t="s">
        <v>29</v>
      </c>
      <c r="C1195" s="7" t="s">
        <v>26</v>
      </c>
      <c r="D1195" s="7"/>
      <c r="E1195" s="7"/>
      <c r="F1195" s="7">
        <f t="shared" si="210"/>
        <v>229</v>
      </c>
      <c r="G1195" s="8"/>
      <c r="H1195" s="7">
        <f t="shared" si="209"/>
        <v>0</v>
      </c>
      <c r="I1195" s="7"/>
      <c r="J1195" s="7"/>
      <c r="K1195" s="7"/>
      <c r="L1195" s="7"/>
      <c r="M1195" s="7">
        <v>41</v>
      </c>
      <c r="N1195" s="7"/>
      <c r="O1195" s="7"/>
      <c r="P1195" s="7"/>
      <c r="Q1195" s="7"/>
      <c r="R1195" s="7"/>
      <c r="S1195" s="9">
        <f t="shared" si="205"/>
        <v>270</v>
      </c>
      <c r="T1195" s="10">
        <f t="shared" si="206"/>
        <v>0</v>
      </c>
      <c r="U1195" s="10"/>
      <c r="V1195">
        <f t="shared" si="211"/>
        <v>0</v>
      </c>
      <c r="W1195">
        <f t="shared" si="212"/>
        <v>0</v>
      </c>
      <c r="X1195">
        <f t="shared" si="213"/>
        <v>0</v>
      </c>
      <c r="Y1195">
        <f t="shared" si="214"/>
        <v>0</v>
      </c>
    </row>
    <row r="1196" spans="1:25">
      <c r="A1196" s="6"/>
      <c r="B1196" s="6" t="s">
        <v>30</v>
      </c>
      <c r="C1196" s="7" t="s">
        <v>26</v>
      </c>
      <c r="D1196" s="7"/>
      <c r="E1196" s="7"/>
      <c r="F1196" s="7">
        <f t="shared" si="210"/>
        <v>2939</v>
      </c>
      <c r="G1196" s="8"/>
      <c r="H1196" s="7">
        <f t="shared" si="209"/>
        <v>0</v>
      </c>
      <c r="I1196" s="7"/>
      <c r="J1196" s="7">
        <v>120</v>
      </c>
      <c r="K1196" s="7"/>
      <c r="L1196" s="7"/>
      <c r="M1196" s="7"/>
      <c r="N1196" s="7"/>
      <c r="O1196" s="7"/>
      <c r="P1196" s="7"/>
      <c r="Q1196" s="7"/>
      <c r="R1196" s="7"/>
      <c r="S1196" s="9">
        <f t="shared" si="205"/>
        <v>2819</v>
      </c>
      <c r="T1196" s="10">
        <f t="shared" si="206"/>
        <v>0</v>
      </c>
      <c r="U1196" s="10"/>
      <c r="V1196">
        <f t="shared" si="211"/>
        <v>12</v>
      </c>
      <c r="W1196">
        <f t="shared" si="212"/>
        <v>0</v>
      </c>
      <c r="X1196">
        <f t="shared" si="213"/>
        <v>120</v>
      </c>
      <c r="Y1196">
        <f t="shared" si="214"/>
        <v>15.6</v>
      </c>
    </row>
    <row r="1197" spans="1:25">
      <c r="A1197" s="6"/>
      <c r="B1197" s="6" t="s">
        <v>31</v>
      </c>
      <c r="C1197" s="7" t="s">
        <v>26</v>
      </c>
      <c r="D1197" s="7"/>
      <c r="E1197" s="7"/>
      <c r="F1197" s="7">
        <f t="shared" si="210"/>
        <v>1562</v>
      </c>
      <c r="G1197" s="8"/>
      <c r="H1197" s="7">
        <f t="shared" si="209"/>
        <v>0</v>
      </c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9">
        <f t="shared" si="205"/>
        <v>1562</v>
      </c>
      <c r="T1197" s="10">
        <f t="shared" si="206"/>
        <v>0</v>
      </c>
      <c r="U1197" s="10"/>
      <c r="V1197">
        <f t="shared" si="211"/>
        <v>0</v>
      </c>
      <c r="W1197">
        <f t="shared" si="212"/>
        <v>0</v>
      </c>
      <c r="X1197">
        <f t="shared" si="213"/>
        <v>0</v>
      </c>
      <c r="Y1197">
        <f t="shared" si="214"/>
        <v>0</v>
      </c>
    </row>
    <row r="1198" spans="1:25">
      <c r="A1198" s="6"/>
      <c r="B1198" s="6" t="s">
        <v>32</v>
      </c>
      <c r="C1198" s="7" t="s">
        <v>26</v>
      </c>
      <c r="D1198" s="7"/>
      <c r="E1198" s="7"/>
      <c r="F1198" s="7">
        <f t="shared" si="210"/>
        <v>1340</v>
      </c>
      <c r="G1198" s="8"/>
      <c r="H1198" s="7">
        <f t="shared" si="209"/>
        <v>0</v>
      </c>
      <c r="I1198" s="7"/>
      <c r="J1198" s="7">
        <v>285</v>
      </c>
      <c r="K1198" s="7">
        <v>10</v>
      </c>
      <c r="L1198" s="7"/>
      <c r="M1198" s="7"/>
      <c r="N1198" s="7"/>
      <c r="O1198" s="7"/>
      <c r="P1198" s="7"/>
      <c r="Q1198" s="7"/>
      <c r="R1198" s="7"/>
      <c r="S1198" s="9">
        <f t="shared" si="205"/>
        <v>1045</v>
      </c>
      <c r="T1198" s="10">
        <f t="shared" si="206"/>
        <v>0</v>
      </c>
      <c r="U1198" s="10"/>
      <c r="V1198">
        <f t="shared" si="211"/>
        <v>29.5</v>
      </c>
      <c r="W1198">
        <f t="shared" si="212"/>
        <v>0</v>
      </c>
      <c r="X1198">
        <f t="shared" si="213"/>
        <v>295</v>
      </c>
      <c r="Y1198">
        <f t="shared" si="214"/>
        <v>38.35</v>
      </c>
    </row>
    <row r="1199" spans="1:25">
      <c r="A1199" s="6"/>
      <c r="B1199" s="6" t="s">
        <v>33</v>
      </c>
      <c r="C1199" s="7" t="s">
        <v>26</v>
      </c>
      <c r="D1199" s="7"/>
      <c r="E1199" s="7"/>
      <c r="F1199" s="7">
        <f t="shared" si="210"/>
        <v>1567</v>
      </c>
      <c r="G1199" s="8"/>
      <c r="H1199" s="7">
        <f t="shared" si="209"/>
        <v>0</v>
      </c>
      <c r="I1199" s="7"/>
      <c r="J1199" s="7"/>
      <c r="K1199" s="7"/>
      <c r="L1199" s="7"/>
      <c r="M1199" s="7">
        <v>24</v>
      </c>
      <c r="N1199" s="7"/>
      <c r="O1199" s="7"/>
      <c r="P1199" s="7"/>
      <c r="Q1199" s="7"/>
      <c r="R1199" s="7"/>
      <c r="S1199" s="9">
        <f t="shared" si="205"/>
        <v>1591</v>
      </c>
      <c r="T1199" s="10">
        <f t="shared" si="206"/>
        <v>0</v>
      </c>
      <c r="U1199" s="10"/>
    </row>
    <row r="1200" spans="1:25">
      <c r="A1200" s="6"/>
      <c r="B1200" s="11" t="s">
        <v>34</v>
      </c>
      <c r="C1200" s="7" t="s">
        <v>26</v>
      </c>
      <c r="D1200" s="7"/>
      <c r="E1200" s="7"/>
      <c r="F1200" s="7">
        <f t="shared" si="210"/>
        <v>17</v>
      </c>
      <c r="G1200" s="8"/>
      <c r="H1200" s="7">
        <f t="shared" si="209"/>
        <v>0</v>
      </c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9">
        <f t="shared" si="205"/>
        <v>17</v>
      </c>
      <c r="T1200" s="10">
        <f t="shared" si="206"/>
        <v>0</v>
      </c>
      <c r="U1200" s="10"/>
    </row>
    <row r="1201" spans="1:21">
      <c r="A1201" s="6"/>
      <c r="B1201" s="11" t="s">
        <v>35</v>
      </c>
      <c r="C1201" s="7" t="s">
        <v>26</v>
      </c>
      <c r="D1201" s="7"/>
      <c r="E1201" s="7"/>
      <c r="F1201" s="7">
        <f t="shared" si="210"/>
        <v>120</v>
      </c>
      <c r="G1201" s="8"/>
      <c r="H1201" s="7">
        <f t="shared" si="209"/>
        <v>0</v>
      </c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9">
        <f t="shared" si="205"/>
        <v>120</v>
      </c>
      <c r="T1201" s="10">
        <f t="shared" si="206"/>
        <v>0</v>
      </c>
      <c r="U1201" s="10"/>
    </row>
    <row r="1202" spans="1:21">
      <c r="A1202" s="6"/>
      <c r="B1202" s="11" t="s">
        <v>36</v>
      </c>
      <c r="C1202" s="7" t="s">
        <v>26</v>
      </c>
      <c r="D1202" s="7"/>
      <c r="E1202" s="7"/>
      <c r="F1202" s="7">
        <f t="shared" si="210"/>
        <v>0</v>
      </c>
      <c r="G1202" s="8"/>
      <c r="H1202" s="7">
        <f t="shared" ref="H1202:H1247" si="215">T1117</f>
        <v>0</v>
      </c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9">
        <f t="shared" si="205"/>
        <v>0</v>
      </c>
      <c r="T1202" s="10">
        <f t="shared" si="206"/>
        <v>0</v>
      </c>
      <c r="U1202" s="10"/>
    </row>
    <row r="1203" spans="1:21">
      <c r="A1203" s="6"/>
      <c r="B1203" s="11" t="s">
        <v>37</v>
      </c>
      <c r="C1203" s="7" t="s">
        <v>26</v>
      </c>
      <c r="D1203" s="7"/>
      <c r="E1203" s="7"/>
      <c r="F1203" s="7">
        <f t="shared" si="210"/>
        <v>24</v>
      </c>
      <c r="G1203" s="8"/>
      <c r="H1203" s="7">
        <f t="shared" si="215"/>
        <v>0</v>
      </c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9">
        <f t="shared" si="205"/>
        <v>24</v>
      </c>
      <c r="T1203" s="10">
        <f t="shared" si="206"/>
        <v>0</v>
      </c>
      <c r="U1203" s="10"/>
    </row>
    <row r="1204" spans="1:21">
      <c r="A1204" s="6"/>
      <c r="B1204" s="11" t="s">
        <v>38</v>
      </c>
      <c r="C1204" s="7" t="s">
        <v>26</v>
      </c>
      <c r="D1204" s="7"/>
      <c r="E1204" s="7"/>
      <c r="F1204" s="7">
        <f t="shared" ref="F1204:F1215" si="216">S1119</f>
        <v>0</v>
      </c>
      <c r="G1204" s="8"/>
      <c r="H1204" s="7">
        <f t="shared" si="215"/>
        <v>0</v>
      </c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9">
        <f t="shared" si="205"/>
        <v>0</v>
      </c>
      <c r="T1204" s="10">
        <f t="shared" si="206"/>
        <v>0</v>
      </c>
      <c r="U1204" s="10"/>
    </row>
    <row r="1205" spans="1:21">
      <c r="A1205" s="6"/>
      <c r="B1205" s="11" t="s">
        <v>39</v>
      </c>
      <c r="C1205" s="7" t="s">
        <v>26</v>
      </c>
      <c r="D1205" s="7"/>
      <c r="E1205" s="7"/>
      <c r="F1205" s="7">
        <f t="shared" si="216"/>
        <v>1740</v>
      </c>
      <c r="G1205" s="8"/>
      <c r="H1205" s="7">
        <f t="shared" si="215"/>
        <v>0</v>
      </c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9">
        <f t="shared" si="205"/>
        <v>1740</v>
      </c>
      <c r="T1205" s="10">
        <f t="shared" si="206"/>
        <v>0</v>
      </c>
      <c r="U1205" s="10"/>
    </row>
    <row r="1206" spans="1:21">
      <c r="A1206" s="6"/>
      <c r="B1206" s="11" t="s">
        <v>40</v>
      </c>
      <c r="C1206" s="7" t="s">
        <v>41</v>
      </c>
      <c r="D1206" s="7"/>
      <c r="E1206" s="7"/>
      <c r="F1206" s="7">
        <f t="shared" si="216"/>
        <v>0</v>
      </c>
      <c r="G1206" s="8"/>
      <c r="H1206" s="7">
        <f t="shared" si="215"/>
        <v>0</v>
      </c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9">
        <f t="shared" si="205"/>
        <v>0</v>
      </c>
      <c r="T1206" s="10">
        <f t="shared" si="206"/>
        <v>0</v>
      </c>
      <c r="U1206" s="10"/>
    </row>
    <row r="1207" spans="1:21">
      <c r="A1207" s="6"/>
      <c r="B1207" s="11" t="s">
        <v>42</v>
      </c>
      <c r="C1207" s="7" t="s">
        <v>41</v>
      </c>
      <c r="D1207" s="7"/>
      <c r="E1207" s="7"/>
      <c r="F1207" s="7">
        <f t="shared" si="216"/>
        <v>53</v>
      </c>
      <c r="G1207" s="8"/>
      <c r="H1207" s="7">
        <f t="shared" si="215"/>
        <v>0</v>
      </c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9">
        <f t="shared" si="205"/>
        <v>53</v>
      </c>
      <c r="T1207" s="10">
        <f t="shared" si="206"/>
        <v>0</v>
      </c>
      <c r="U1207" s="10"/>
    </row>
    <row r="1208" spans="1:21">
      <c r="A1208" s="6"/>
      <c r="B1208" s="11" t="s">
        <v>43</v>
      </c>
      <c r="C1208" s="7" t="s">
        <v>41</v>
      </c>
      <c r="D1208" s="7"/>
      <c r="E1208" s="7"/>
      <c r="F1208" s="7">
        <f t="shared" si="216"/>
        <v>0</v>
      </c>
      <c r="G1208" s="8"/>
      <c r="H1208" s="7">
        <f t="shared" si="215"/>
        <v>0</v>
      </c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9">
        <f t="shared" si="205"/>
        <v>0</v>
      </c>
      <c r="T1208" s="10">
        <f t="shared" si="206"/>
        <v>0</v>
      </c>
      <c r="U1208" s="10"/>
    </row>
    <row r="1209" spans="1:21">
      <c r="A1209" s="6"/>
      <c r="B1209" s="11" t="s">
        <v>44</v>
      </c>
      <c r="C1209" s="7" t="s">
        <v>41</v>
      </c>
      <c r="D1209" s="7"/>
      <c r="E1209" s="7"/>
      <c r="F1209" s="7">
        <f t="shared" si="216"/>
        <v>75</v>
      </c>
      <c r="G1209" s="8"/>
      <c r="H1209" s="7">
        <f t="shared" si="215"/>
        <v>0</v>
      </c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9">
        <f t="shared" si="205"/>
        <v>75</v>
      </c>
      <c r="T1209" s="10">
        <f t="shared" si="206"/>
        <v>0</v>
      </c>
      <c r="U1209" s="10"/>
    </row>
    <row r="1210" spans="1:21">
      <c r="A1210" s="6"/>
      <c r="B1210" s="11" t="s">
        <v>45</v>
      </c>
      <c r="C1210" s="7" t="s">
        <v>41</v>
      </c>
      <c r="D1210" s="7"/>
      <c r="E1210" s="7"/>
      <c r="F1210" s="7">
        <f t="shared" si="216"/>
        <v>0</v>
      </c>
      <c r="G1210" s="8"/>
      <c r="H1210" s="7">
        <f t="shared" si="215"/>
        <v>0</v>
      </c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9">
        <f t="shared" si="205"/>
        <v>0</v>
      </c>
      <c r="T1210" s="10">
        <f t="shared" si="206"/>
        <v>0</v>
      </c>
      <c r="U1210" s="10"/>
    </row>
    <row r="1211" spans="1:21">
      <c r="A1211" s="6"/>
      <c r="B1211" s="11" t="s">
        <v>46</v>
      </c>
      <c r="C1211" s="7" t="s">
        <v>41</v>
      </c>
      <c r="D1211" s="7"/>
      <c r="E1211" s="7"/>
      <c r="F1211" s="7">
        <f t="shared" si="216"/>
        <v>17</v>
      </c>
      <c r="G1211" s="8"/>
      <c r="H1211" s="7">
        <f t="shared" si="215"/>
        <v>0</v>
      </c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9">
        <f t="shared" si="205"/>
        <v>17</v>
      </c>
      <c r="T1211" s="10">
        <f t="shared" si="206"/>
        <v>0</v>
      </c>
      <c r="U1211" s="10"/>
    </row>
    <row r="1212" spans="1:21">
      <c r="A1212" s="6"/>
      <c r="B1212" s="11" t="s">
        <v>47</v>
      </c>
      <c r="C1212" s="7" t="s">
        <v>26</v>
      </c>
      <c r="D1212" s="7"/>
      <c r="E1212" s="7"/>
      <c r="F1212" s="7">
        <f t="shared" si="216"/>
        <v>0</v>
      </c>
      <c r="G1212" s="8"/>
      <c r="H1212" s="7">
        <f t="shared" si="215"/>
        <v>0</v>
      </c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9">
        <f t="shared" si="205"/>
        <v>0</v>
      </c>
      <c r="T1212" s="10">
        <f t="shared" si="206"/>
        <v>0</v>
      </c>
      <c r="U1212" s="10"/>
    </row>
    <row r="1213" spans="1:21">
      <c r="A1213" s="6"/>
      <c r="B1213" s="11" t="s">
        <v>48</v>
      </c>
      <c r="C1213" s="7" t="s">
        <v>26</v>
      </c>
      <c r="D1213" s="7"/>
      <c r="E1213" s="7"/>
      <c r="F1213" s="7">
        <f t="shared" si="216"/>
        <v>27114</v>
      </c>
      <c r="G1213" s="8"/>
      <c r="H1213" s="7">
        <f t="shared" si="215"/>
        <v>0</v>
      </c>
      <c r="I1213" s="7"/>
      <c r="J1213" s="7">
        <v>2250</v>
      </c>
      <c r="K1213" s="7"/>
      <c r="L1213" s="7"/>
      <c r="M1213" s="7">
        <v>14</v>
      </c>
      <c r="N1213" s="7"/>
      <c r="O1213" s="7"/>
      <c r="P1213" s="7"/>
      <c r="Q1213" s="7"/>
      <c r="R1213" s="7"/>
      <c r="S1213" s="9">
        <f t="shared" si="205"/>
        <v>24878</v>
      </c>
      <c r="T1213" s="10">
        <f t="shared" si="206"/>
        <v>0</v>
      </c>
      <c r="U1213" s="10" t="s">
        <v>118</v>
      </c>
    </row>
    <row r="1214" spans="1:21">
      <c r="A1214" s="6"/>
      <c r="B1214" s="11" t="s">
        <v>50</v>
      </c>
      <c r="C1214" s="7" t="s">
        <v>26</v>
      </c>
      <c r="D1214" s="7"/>
      <c r="E1214" s="7"/>
      <c r="F1214" s="7">
        <f t="shared" ref="F1214:F1235" si="217">S1129</f>
        <v>0</v>
      </c>
      <c r="G1214" s="8"/>
      <c r="H1214" s="7">
        <f t="shared" si="215"/>
        <v>0</v>
      </c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9">
        <f t="shared" si="205"/>
        <v>0</v>
      </c>
      <c r="T1214" s="10">
        <f t="shared" si="206"/>
        <v>0</v>
      </c>
      <c r="U1214" s="10"/>
    </row>
    <row r="1215" spans="1:21">
      <c r="A1215" s="6"/>
      <c r="B1215" s="11" t="s">
        <v>51</v>
      </c>
      <c r="C1215" s="7" t="s">
        <v>26</v>
      </c>
      <c r="D1215" s="7"/>
      <c r="E1215" s="7"/>
      <c r="F1215" s="7">
        <f t="shared" si="217"/>
        <v>0</v>
      </c>
      <c r="G1215" s="8"/>
      <c r="H1215" s="7">
        <f t="shared" si="215"/>
        <v>0</v>
      </c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9">
        <f t="shared" si="205"/>
        <v>0</v>
      </c>
      <c r="T1215" s="10">
        <f t="shared" si="206"/>
        <v>0</v>
      </c>
      <c r="U1215" s="10"/>
    </row>
    <row r="1216" spans="1:21">
      <c r="A1216" s="6"/>
      <c r="B1216" s="11" t="s">
        <v>52</v>
      </c>
      <c r="C1216" s="7" t="s">
        <v>26</v>
      </c>
      <c r="D1216" s="7"/>
      <c r="E1216" s="7"/>
      <c r="F1216" s="7">
        <f t="shared" si="217"/>
        <v>7280</v>
      </c>
      <c r="G1216" s="8"/>
      <c r="H1216" s="7">
        <f t="shared" si="215"/>
        <v>0</v>
      </c>
      <c r="I1216" s="7"/>
      <c r="J1216" s="7">
        <v>720</v>
      </c>
      <c r="K1216" s="7"/>
      <c r="L1216" s="7"/>
      <c r="M1216" s="7"/>
      <c r="N1216" s="7"/>
      <c r="O1216" s="7"/>
      <c r="P1216" s="7"/>
      <c r="Q1216" s="7"/>
      <c r="R1216" s="7"/>
      <c r="S1216" s="9">
        <f t="shared" si="205"/>
        <v>6560</v>
      </c>
      <c r="T1216" s="10">
        <f t="shared" si="206"/>
        <v>0</v>
      </c>
      <c r="U1216" s="10"/>
    </row>
    <row r="1217" spans="1:21">
      <c r="A1217" s="6"/>
      <c r="B1217" s="11" t="s">
        <v>53</v>
      </c>
      <c r="C1217" s="7" t="s">
        <v>54</v>
      </c>
      <c r="D1217" s="7"/>
      <c r="E1217" s="7"/>
      <c r="F1217" s="7">
        <f t="shared" si="217"/>
        <v>0</v>
      </c>
      <c r="G1217" s="8"/>
      <c r="H1217" s="7">
        <f t="shared" si="215"/>
        <v>0</v>
      </c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9">
        <f t="shared" si="205"/>
        <v>0</v>
      </c>
      <c r="T1217" s="10">
        <f t="shared" si="206"/>
        <v>0</v>
      </c>
      <c r="U1217" s="10"/>
    </row>
    <row r="1218" spans="1:21">
      <c r="A1218" s="6"/>
      <c r="B1218" s="11" t="s">
        <v>55</v>
      </c>
      <c r="C1218" s="7" t="s">
        <v>54</v>
      </c>
      <c r="D1218" s="7"/>
      <c r="E1218" s="7"/>
      <c r="F1218" s="7">
        <f t="shared" si="217"/>
        <v>15</v>
      </c>
      <c r="G1218" s="8"/>
      <c r="H1218" s="7">
        <f t="shared" si="215"/>
        <v>0</v>
      </c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9">
        <f t="shared" si="205"/>
        <v>15</v>
      </c>
      <c r="T1218" s="10">
        <f t="shared" si="206"/>
        <v>0</v>
      </c>
      <c r="U1218" s="10"/>
    </row>
    <row r="1219" spans="1:21">
      <c r="A1219" s="6"/>
      <c r="B1219" s="11" t="s">
        <v>56</v>
      </c>
      <c r="C1219" s="7" t="s">
        <v>54</v>
      </c>
      <c r="D1219" s="7"/>
      <c r="E1219" s="7"/>
      <c r="F1219" s="7">
        <f t="shared" si="217"/>
        <v>2746</v>
      </c>
      <c r="G1219" s="8"/>
      <c r="H1219" s="7">
        <f t="shared" si="215"/>
        <v>0</v>
      </c>
      <c r="I1219" s="7"/>
      <c r="J1219" s="7">
        <v>153</v>
      </c>
      <c r="K1219" s="7">
        <v>90</v>
      </c>
      <c r="L1219" s="7">
        <v>270</v>
      </c>
      <c r="M1219" s="7"/>
      <c r="N1219" s="7"/>
      <c r="O1219" s="7"/>
      <c r="P1219" s="7"/>
      <c r="Q1219" s="7"/>
      <c r="R1219" s="7"/>
      <c r="S1219" s="9">
        <f t="shared" si="205"/>
        <v>2233</v>
      </c>
      <c r="T1219" s="10">
        <f t="shared" si="206"/>
        <v>0</v>
      </c>
      <c r="U1219" s="10"/>
    </row>
    <row r="1220" spans="1:21">
      <c r="A1220" s="6"/>
      <c r="B1220" s="11" t="s">
        <v>57</v>
      </c>
      <c r="C1220" s="7" t="s">
        <v>54</v>
      </c>
      <c r="D1220" s="7"/>
      <c r="E1220" s="7"/>
      <c r="F1220" s="7">
        <f t="shared" si="217"/>
        <v>429</v>
      </c>
      <c r="G1220" s="8"/>
      <c r="H1220" s="7">
        <f t="shared" si="215"/>
        <v>0</v>
      </c>
      <c r="I1220" s="7"/>
      <c r="J1220" s="7">
        <v>300</v>
      </c>
      <c r="K1220" s="7"/>
      <c r="L1220" s="7"/>
      <c r="M1220" s="7">
        <v>24</v>
      </c>
      <c r="N1220" s="7"/>
      <c r="O1220" s="7"/>
      <c r="P1220" s="7"/>
      <c r="Q1220" s="7"/>
      <c r="R1220" s="7"/>
      <c r="S1220" s="9">
        <f t="shared" si="205"/>
        <v>153</v>
      </c>
      <c r="T1220" s="10">
        <f t="shared" si="206"/>
        <v>0</v>
      </c>
      <c r="U1220" s="10"/>
    </row>
    <row r="1221" spans="1:21">
      <c r="A1221" s="6"/>
      <c r="B1221" s="11" t="s">
        <v>58</v>
      </c>
      <c r="C1221" s="7" t="s">
        <v>54</v>
      </c>
      <c r="D1221" s="7"/>
      <c r="E1221" s="7"/>
      <c r="F1221" s="7">
        <f t="shared" si="217"/>
        <v>0</v>
      </c>
      <c r="G1221" s="8"/>
      <c r="H1221" s="7">
        <f t="shared" si="215"/>
        <v>0</v>
      </c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9">
        <f t="shared" si="205"/>
        <v>0</v>
      </c>
      <c r="T1221" s="10">
        <f t="shared" si="206"/>
        <v>0</v>
      </c>
      <c r="U1221" s="10"/>
    </row>
    <row r="1222" spans="1:21">
      <c r="A1222" s="6"/>
      <c r="B1222" s="11" t="s">
        <v>59</v>
      </c>
      <c r="C1222" s="7" t="s">
        <v>54</v>
      </c>
      <c r="D1222" s="7"/>
      <c r="E1222" s="7"/>
      <c r="F1222" s="7">
        <f t="shared" si="217"/>
        <v>19</v>
      </c>
      <c r="G1222" s="8"/>
      <c r="H1222" s="7">
        <f t="shared" si="215"/>
        <v>0</v>
      </c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9">
        <f t="shared" si="205"/>
        <v>19</v>
      </c>
      <c r="T1222" s="10">
        <f t="shared" si="206"/>
        <v>0</v>
      </c>
      <c r="U1222" s="10"/>
    </row>
    <row r="1223" spans="1:21">
      <c r="A1223" s="6"/>
      <c r="B1223" s="11" t="s">
        <v>60</v>
      </c>
      <c r="C1223" s="7" t="s">
        <v>61</v>
      </c>
      <c r="D1223" s="7"/>
      <c r="E1223" s="7"/>
      <c r="F1223" s="7">
        <f t="shared" si="217"/>
        <v>0</v>
      </c>
      <c r="G1223" s="8"/>
      <c r="H1223" s="7">
        <f t="shared" si="215"/>
        <v>0</v>
      </c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9">
        <f t="shared" ref="S1223:S1286" si="218">F1223+G1223-J1223-K1223-L1223+M1223+O1223-P1223-R1223</f>
        <v>0</v>
      </c>
      <c r="T1223" s="10">
        <f t="shared" ref="T1223:T1286" si="219">H1223+I1223+N1223+R1223-Q1223</f>
        <v>0</v>
      </c>
      <c r="U1223" s="10"/>
    </row>
    <row r="1224" spans="1:21">
      <c r="A1224" s="6"/>
      <c r="B1224" s="11" t="s">
        <v>62</v>
      </c>
      <c r="C1224" s="7" t="s">
        <v>61</v>
      </c>
      <c r="D1224" s="7"/>
      <c r="E1224" s="7"/>
      <c r="F1224" s="7">
        <f t="shared" si="217"/>
        <v>11</v>
      </c>
      <c r="G1224" s="8"/>
      <c r="H1224" s="7">
        <f t="shared" si="215"/>
        <v>0</v>
      </c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9">
        <f t="shared" si="218"/>
        <v>11</v>
      </c>
      <c r="T1224" s="10">
        <f t="shared" si="219"/>
        <v>0</v>
      </c>
      <c r="U1224" s="10"/>
    </row>
    <row r="1225" spans="1:21">
      <c r="A1225" s="6"/>
      <c r="B1225" s="10" t="s">
        <v>63</v>
      </c>
      <c r="C1225" s="10" t="s">
        <v>41</v>
      </c>
      <c r="D1225" s="7"/>
      <c r="E1225" s="7"/>
      <c r="F1225" s="7">
        <f t="shared" si="217"/>
        <v>0</v>
      </c>
      <c r="G1225" s="8"/>
      <c r="H1225" s="7">
        <f t="shared" si="215"/>
        <v>0</v>
      </c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9">
        <f t="shared" si="218"/>
        <v>0</v>
      </c>
      <c r="T1225" s="10">
        <f t="shared" si="219"/>
        <v>0</v>
      </c>
      <c r="U1225" s="10"/>
    </row>
    <row r="1226" spans="1:21">
      <c r="A1226" s="6"/>
      <c r="B1226" s="10" t="s">
        <v>64</v>
      </c>
      <c r="C1226" s="10" t="s">
        <v>41</v>
      </c>
      <c r="D1226" s="7"/>
      <c r="E1226" s="7"/>
      <c r="F1226" s="7">
        <f t="shared" si="217"/>
        <v>5</v>
      </c>
      <c r="G1226" s="8"/>
      <c r="H1226" s="7">
        <f t="shared" si="215"/>
        <v>0</v>
      </c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9">
        <f t="shared" si="218"/>
        <v>5</v>
      </c>
      <c r="T1226" s="10">
        <f t="shared" si="219"/>
        <v>0</v>
      </c>
      <c r="U1226" s="10"/>
    </row>
    <row r="1227" spans="1:21">
      <c r="A1227" s="6"/>
      <c r="B1227" s="11" t="s">
        <v>65</v>
      </c>
      <c r="C1227" s="7" t="s">
        <v>26</v>
      </c>
      <c r="D1227" s="7"/>
      <c r="E1227" s="7"/>
      <c r="F1227" s="7">
        <f t="shared" si="217"/>
        <v>0</v>
      </c>
      <c r="G1227" s="8"/>
      <c r="H1227" s="7">
        <f t="shared" si="215"/>
        <v>0</v>
      </c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9">
        <f t="shared" si="218"/>
        <v>0</v>
      </c>
      <c r="T1227" s="10">
        <f t="shared" si="219"/>
        <v>0</v>
      </c>
      <c r="U1227" s="10"/>
    </row>
    <row r="1228" spans="1:21">
      <c r="A1228" s="6"/>
      <c r="B1228" s="11" t="s">
        <v>66</v>
      </c>
      <c r="C1228" s="7" t="s">
        <v>26</v>
      </c>
      <c r="D1228" s="7"/>
      <c r="E1228" s="7"/>
      <c r="F1228" s="7">
        <f t="shared" si="217"/>
        <v>71</v>
      </c>
      <c r="G1228" s="8"/>
      <c r="H1228" s="7">
        <f t="shared" si="215"/>
        <v>0</v>
      </c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9">
        <f t="shared" si="218"/>
        <v>71</v>
      </c>
      <c r="T1228" s="10">
        <f t="shared" si="219"/>
        <v>0</v>
      </c>
      <c r="U1228" s="10"/>
    </row>
    <row r="1229" spans="1:21">
      <c r="A1229" s="6"/>
      <c r="B1229" s="11" t="s">
        <v>67</v>
      </c>
      <c r="C1229" s="7" t="s">
        <v>26</v>
      </c>
      <c r="D1229" s="7"/>
      <c r="E1229" s="7"/>
      <c r="F1229" s="7">
        <f t="shared" si="217"/>
        <v>0</v>
      </c>
      <c r="G1229" s="8"/>
      <c r="H1229" s="7">
        <f t="shared" si="215"/>
        <v>0</v>
      </c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9">
        <f t="shared" si="218"/>
        <v>0</v>
      </c>
      <c r="T1229" s="10">
        <f t="shared" si="219"/>
        <v>0</v>
      </c>
      <c r="U1229" s="10"/>
    </row>
    <row r="1230" spans="1:21">
      <c r="A1230" s="6"/>
      <c r="B1230" s="11" t="s">
        <v>68</v>
      </c>
      <c r="C1230" s="7" t="s">
        <v>26</v>
      </c>
      <c r="D1230" s="7"/>
      <c r="E1230" s="7"/>
      <c r="F1230" s="7">
        <f t="shared" si="217"/>
        <v>7</v>
      </c>
      <c r="G1230" s="8"/>
      <c r="H1230" s="7">
        <f t="shared" si="215"/>
        <v>0</v>
      </c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9">
        <f t="shared" si="218"/>
        <v>7</v>
      </c>
      <c r="T1230" s="10">
        <f t="shared" si="219"/>
        <v>0</v>
      </c>
      <c r="U1230" s="10"/>
    </row>
    <row r="1231" spans="1:21">
      <c r="A1231" s="6"/>
      <c r="B1231" s="11" t="s">
        <v>69</v>
      </c>
      <c r="C1231" s="7" t="s">
        <v>41</v>
      </c>
      <c r="D1231" s="7"/>
      <c r="E1231" s="7"/>
      <c r="F1231" s="7">
        <f t="shared" ref="F1231:F1245" si="220">S1146</f>
        <v>0</v>
      </c>
      <c r="G1231" s="8"/>
      <c r="H1231" s="7">
        <f t="shared" si="215"/>
        <v>0</v>
      </c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9">
        <f t="shared" si="218"/>
        <v>0</v>
      </c>
      <c r="T1231" s="10">
        <f t="shared" si="219"/>
        <v>0</v>
      </c>
      <c r="U1231" s="10"/>
    </row>
    <row r="1232" spans="1:21">
      <c r="A1232" s="6"/>
      <c r="B1232" s="11" t="s">
        <v>70</v>
      </c>
      <c r="C1232" s="7" t="s">
        <v>41</v>
      </c>
      <c r="D1232" s="7"/>
      <c r="E1232" s="7"/>
      <c r="F1232" s="7">
        <f t="shared" si="220"/>
        <v>13</v>
      </c>
      <c r="G1232" s="8"/>
      <c r="H1232" s="7">
        <f t="shared" si="215"/>
        <v>0</v>
      </c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9">
        <f t="shared" si="218"/>
        <v>13</v>
      </c>
      <c r="T1232" s="10">
        <f t="shared" si="219"/>
        <v>0</v>
      </c>
      <c r="U1232" s="10"/>
    </row>
    <row r="1233" spans="1:21">
      <c r="A1233" s="6"/>
      <c r="B1233" s="11" t="s">
        <v>71</v>
      </c>
      <c r="C1233" s="7" t="s">
        <v>61</v>
      </c>
      <c r="D1233" s="7"/>
      <c r="E1233" s="7"/>
      <c r="F1233" s="7">
        <f t="shared" si="220"/>
        <v>0</v>
      </c>
      <c r="G1233" s="8"/>
      <c r="H1233" s="7">
        <f t="shared" si="215"/>
        <v>0</v>
      </c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9">
        <f t="shared" si="218"/>
        <v>0</v>
      </c>
      <c r="T1233" s="10">
        <f t="shared" si="219"/>
        <v>0</v>
      </c>
      <c r="U1233" s="10"/>
    </row>
    <row r="1234" spans="1:21">
      <c r="A1234" s="6"/>
      <c r="B1234" s="11" t="s">
        <v>72</v>
      </c>
      <c r="C1234" s="7" t="s">
        <v>61</v>
      </c>
      <c r="D1234" s="7"/>
      <c r="E1234" s="7"/>
      <c r="F1234" s="7">
        <f t="shared" si="220"/>
        <v>8</v>
      </c>
      <c r="G1234" s="8"/>
      <c r="H1234" s="7">
        <f t="shared" si="215"/>
        <v>0</v>
      </c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9">
        <f t="shared" si="218"/>
        <v>8</v>
      </c>
      <c r="T1234" s="10">
        <f t="shared" si="219"/>
        <v>0</v>
      </c>
      <c r="U1234" s="10"/>
    </row>
    <row r="1235" spans="1:21">
      <c r="A1235" s="6"/>
      <c r="B1235" s="11" t="s">
        <v>73</v>
      </c>
      <c r="C1235" s="7" t="s">
        <v>26</v>
      </c>
      <c r="D1235" s="7"/>
      <c r="E1235" s="7"/>
      <c r="F1235" s="7">
        <f t="shared" si="220"/>
        <v>0</v>
      </c>
      <c r="G1235" s="8"/>
      <c r="H1235" s="7">
        <f t="shared" si="215"/>
        <v>0</v>
      </c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9">
        <f t="shared" si="218"/>
        <v>0</v>
      </c>
      <c r="T1235" s="10">
        <f t="shared" si="219"/>
        <v>0</v>
      </c>
      <c r="U1235" s="10"/>
    </row>
    <row r="1236" spans="1:21">
      <c r="A1236" s="6"/>
      <c r="B1236" s="11" t="s">
        <v>74</v>
      </c>
      <c r="C1236" s="7" t="s">
        <v>26</v>
      </c>
      <c r="D1236" s="7"/>
      <c r="E1236" s="7"/>
      <c r="F1236" s="7">
        <f t="shared" si="220"/>
        <v>22</v>
      </c>
      <c r="G1236" s="8"/>
      <c r="H1236" s="7">
        <f t="shared" si="215"/>
        <v>0</v>
      </c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9">
        <f t="shared" si="218"/>
        <v>22</v>
      </c>
      <c r="T1236" s="10">
        <f t="shared" si="219"/>
        <v>0</v>
      </c>
      <c r="U1236" s="10"/>
    </row>
    <row r="1237" spans="1:21">
      <c r="A1237" s="6"/>
      <c r="B1237" s="11" t="s">
        <v>75</v>
      </c>
      <c r="C1237" s="7" t="s">
        <v>26</v>
      </c>
      <c r="D1237" s="7"/>
      <c r="E1237" s="7"/>
      <c r="F1237" s="7">
        <f t="shared" si="220"/>
        <v>0</v>
      </c>
      <c r="G1237" s="8"/>
      <c r="H1237" s="7">
        <f t="shared" si="215"/>
        <v>0</v>
      </c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9">
        <f t="shared" si="218"/>
        <v>0</v>
      </c>
      <c r="T1237" s="10">
        <f t="shared" si="219"/>
        <v>0</v>
      </c>
      <c r="U1237" s="10"/>
    </row>
    <row r="1238" spans="1:21">
      <c r="A1238" s="6"/>
      <c r="B1238" s="11" t="s">
        <v>76</v>
      </c>
      <c r="C1238" s="7" t="s">
        <v>26</v>
      </c>
      <c r="D1238" s="7"/>
      <c r="E1238" s="7"/>
      <c r="F1238" s="7">
        <f t="shared" si="220"/>
        <v>20</v>
      </c>
      <c r="G1238" s="8"/>
      <c r="H1238" s="7">
        <f t="shared" si="215"/>
        <v>0</v>
      </c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9">
        <f t="shared" si="218"/>
        <v>20</v>
      </c>
      <c r="T1238" s="10">
        <f t="shared" si="219"/>
        <v>0</v>
      </c>
      <c r="U1238" s="10"/>
    </row>
    <row r="1239" spans="1:21">
      <c r="A1239" s="6"/>
      <c r="B1239" s="11" t="s">
        <v>77</v>
      </c>
      <c r="C1239" s="7" t="s">
        <v>61</v>
      </c>
      <c r="D1239" s="7"/>
      <c r="E1239" s="7"/>
      <c r="F1239" s="7">
        <f t="shared" si="220"/>
        <v>0</v>
      </c>
      <c r="G1239" s="8"/>
      <c r="H1239" s="7">
        <f t="shared" si="215"/>
        <v>0</v>
      </c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9">
        <f t="shared" si="218"/>
        <v>0</v>
      </c>
      <c r="T1239" s="10">
        <f t="shared" si="219"/>
        <v>0</v>
      </c>
      <c r="U1239" s="10"/>
    </row>
    <row r="1240" spans="1:21">
      <c r="A1240" s="6"/>
      <c r="B1240" s="11" t="s">
        <v>78</v>
      </c>
      <c r="C1240" s="7" t="s">
        <v>61</v>
      </c>
      <c r="D1240" s="7"/>
      <c r="E1240" s="7"/>
      <c r="F1240" s="7">
        <f t="shared" si="220"/>
        <v>69</v>
      </c>
      <c r="G1240" s="8"/>
      <c r="H1240" s="7">
        <f t="shared" si="215"/>
        <v>0</v>
      </c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9">
        <f t="shared" si="218"/>
        <v>69</v>
      </c>
      <c r="T1240" s="10">
        <f t="shared" si="219"/>
        <v>0</v>
      </c>
      <c r="U1240" s="10"/>
    </row>
    <row r="1241" spans="1:21">
      <c r="A1241" s="6"/>
      <c r="B1241" s="11" t="s">
        <v>105</v>
      </c>
      <c r="C1241" s="7" t="s">
        <v>26</v>
      </c>
      <c r="D1241" s="7"/>
      <c r="E1241" s="7"/>
      <c r="F1241" s="7">
        <f t="shared" si="220"/>
        <v>410</v>
      </c>
      <c r="G1241" s="8"/>
      <c r="H1241" s="7">
        <f t="shared" si="215"/>
        <v>0</v>
      </c>
      <c r="I1241" s="7"/>
      <c r="J1241" s="7">
        <v>120</v>
      </c>
      <c r="K1241" s="7"/>
      <c r="L1241" s="7"/>
      <c r="M1241" s="7"/>
      <c r="N1241" s="7"/>
      <c r="O1241" s="7"/>
      <c r="P1241" s="7"/>
      <c r="Q1241" s="7"/>
      <c r="R1241" s="7"/>
      <c r="S1241" s="9">
        <f t="shared" si="218"/>
        <v>290</v>
      </c>
      <c r="T1241" s="10">
        <f t="shared" si="219"/>
        <v>0</v>
      </c>
      <c r="U1241" s="10"/>
    </row>
    <row r="1242" spans="1:21">
      <c r="A1242" s="6"/>
      <c r="B1242" s="11" t="s">
        <v>80</v>
      </c>
      <c r="C1242" s="7" t="s">
        <v>26</v>
      </c>
      <c r="D1242" s="7"/>
      <c r="E1242" s="7"/>
      <c r="F1242" s="7">
        <f t="shared" si="220"/>
        <v>663</v>
      </c>
      <c r="G1242" s="8"/>
      <c r="H1242" s="7">
        <f t="shared" si="215"/>
        <v>0</v>
      </c>
      <c r="I1242" s="7"/>
      <c r="J1242" s="7"/>
      <c r="K1242" s="7"/>
      <c r="L1242" s="7"/>
      <c r="M1242" s="7">
        <v>92</v>
      </c>
      <c r="N1242" s="7"/>
      <c r="O1242" s="7"/>
      <c r="P1242" s="7"/>
      <c r="Q1242" s="7"/>
      <c r="R1242" s="7"/>
      <c r="S1242" s="9">
        <f t="shared" si="218"/>
        <v>755</v>
      </c>
      <c r="T1242" s="10">
        <f t="shared" si="219"/>
        <v>0</v>
      </c>
      <c r="U1242" s="10"/>
    </row>
    <row r="1243" spans="1:21">
      <c r="A1243" s="6"/>
      <c r="B1243" s="11" t="s">
        <v>81</v>
      </c>
      <c r="C1243" s="7" t="s">
        <v>26</v>
      </c>
      <c r="D1243" s="7"/>
      <c r="E1243" s="7"/>
      <c r="F1243" s="7">
        <f t="shared" ref="F1243:F1256" si="221">S1158</f>
        <v>0</v>
      </c>
      <c r="G1243" s="8"/>
      <c r="H1243" s="7">
        <f t="shared" si="215"/>
        <v>0</v>
      </c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9">
        <f t="shared" si="218"/>
        <v>0</v>
      </c>
      <c r="T1243" s="10">
        <f t="shared" si="219"/>
        <v>0</v>
      </c>
      <c r="U1243" s="10"/>
    </row>
    <row r="1244" spans="1:21">
      <c r="A1244" s="6"/>
      <c r="B1244" s="11" t="s">
        <v>82</v>
      </c>
      <c r="C1244" s="7" t="s">
        <v>26</v>
      </c>
      <c r="D1244" s="7"/>
      <c r="E1244" s="7"/>
      <c r="F1244" s="7">
        <f t="shared" si="221"/>
        <v>14</v>
      </c>
      <c r="G1244" s="8"/>
      <c r="H1244" s="7">
        <f t="shared" si="215"/>
        <v>0</v>
      </c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9">
        <f t="shared" si="218"/>
        <v>14</v>
      </c>
      <c r="T1244" s="10">
        <f t="shared" si="219"/>
        <v>0</v>
      </c>
      <c r="U1244" s="10"/>
    </row>
    <row r="1245" spans="1:21">
      <c r="A1245" s="6"/>
      <c r="B1245" s="11" t="s">
        <v>83</v>
      </c>
      <c r="C1245" s="7" t="s">
        <v>26</v>
      </c>
      <c r="D1245" s="7"/>
      <c r="E1245" s="7"/>
      <c r="F1245" s="7">
        <f t="shared" si="221"/>
        <v>0</v>
      </c>
      <c r="G1245" s="8"/>
      <c r="H1245" s="7">
        <f t="shared" si="215"/>
        <v>0</v>
      </c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9">
        <f t="shared" si="218"/>
        <v>0</v>
      </c>
      <c r="T1245" s="10">
        <f t="shared" si="219"/>
        <v>0</v>
      </c>
      <c r="U1245" s="10"/>
    </row>
    <row r="1246" spans="1:21">
      <c r="A1246" s="6"/>
      <c r="B1246" s="11" t="s">
        <v>84</v>
      </c>
      <c r="C1246" s="7" t="s">
        <v>26</v>
      </c>
      <c r="D1246" s="7"/>
      <c r="E1246" s="7"/>
      <c r="F1246" s="7">
        <f t="shared" si="221"/>
        <v>28</v>
      </c>
      <c r="G1246" s="8"/>
      <c r="H1246" s="7">
        <f t="shared" si="215"/>
        <v>0</v>
      </c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9">
        <f t="shared" si="218"/>
        <v>28</v>
      </c>
      <c r="T1246" s="10">
        <f t="shared" si="219"/>
        <v>0</v>
      </c>
      <c r="U1246" s="10"/>
    </row>
    <row r="1247" spans="1:21">
      <c r="A1247" s="6"/>
      <c r="B1247" s="11" t="s">
        <v>85</v>
      </c>
      <c r="C1247" s="7" t="s">
        <v>61</v>
      </c>
      <c r="D1247" s="7"/>
      <c r="E1247" s="7"/>
      <c r="F1247" s="7">
        <f t="shared" si="221"/>
        <v>0</v>
      </c>
      <c r="G1247" s="8"/>
      <c r="H1247" s="7">
        <f t="shared" si="215"/>
        <v>0</v>
      </c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9">
        <f t="shared" si="218"/>
        <v>0</v>
      </c>
      <c r="T1247" s="10">
        <f t="shared" si="219"/>
        <v>0</v>
      </c>
      <c r="U1247" s="10"/>
    </row>
    <row r="1248" spans="1:21">
      <c r="A1248" s="6"/>
      <c r="B1248" s="11" t="s">
        <v>86</v>
      </c>
      <c r="C1248" s="7" t="s">
        <v>61</v>
      </c>
      <c r="D1248" s="7"/>
      <c r="E1248" s="7"/>
      <c r="F1248" s="7">
        <f t="shared" si="221"/>
        <v>10</v>
      </c>
      <c r="G1248" s="8"/>
      <c r="H1248" s="7">
        <f t="shared" ref="H1248:H1307" si="222">T1163</f>
        <v>0</v>
      </c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9">
        <f t="shared" si="218"/>
        <v>10</v>
      </c>
      <c r="T1248" s="10">
        <f t="shared" si="219"/>
        <v>0</v>
      </c>
      <c r="U1248" s="10"/>
    </row>
    <row r="1249" spans="1:21">
      <c r="A1249" s="6"/>
      <c r="B1249" s="11" t="s">
        <v>87</v>
      </c>
      <c r="C1249" s="7" t="s">
        <v>26</v>
      </c>
      <c r="D1249" s="7"/>
      <c r="E1249" s="7"/>
      <c r="F1249" s="7">
        <f t="shared" si="221"/>
        <v>0</v>
      </c>
      <c r="G1249" s="8"/>
      <c r="H1249" s="7">
        <f t="shared" si="222"/>
        <v>0</v>
      </c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9">
        <f t="shared" si="218"/>
        <v>0</v>
      </c>
      <c r="T1249" s="10">
        <f t="shared" si="219"/>
        <v>0</v>
      </c>
      <c r="U1249" s="10"/>
    </row>
    <row r="1250" spans="1:21">
      <c r="A1250" s="6"/>
      <c r="B1250" s="11" t="s">
        <v>88</v>
      </c>
      <c r="C1250" s="10"/>
      <c r="D1250" s="7"/>
      <c r="E1250" s="7"/>
      <c r="F1250" s="7">
        <f t="shared" si="221"/>
        <v>37</v>
      </c>
      <c r="G1250" s="8"/>
      <c r="H1250" s="7">
        <f t="shared" si="222"/>
        <v>0</v>
      </c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9">
        <f t="shared" si="218"/>
        <v>37</v>
      </c>
      <c r="T1250" s="10">
        <f t="shared" si="219"/>
        <v>0</v>
      </c>
      <c r="U1250" s="10"/>
    </row>
    <row r="1251" spans="1:21">
      <c r="A1251" s="6"/>
      <c r="B1251" s="11" t="s">
        <v>89</v>
      </c>
      <c r="C1251" s="7" t="s">
        <v>26</v>
      </c>
      <c r="D1251" s="7"/>
      <c r="E1251" s="7"/>
      <c r="F1251" s="7">
        <f t="shared" si="221"/>
        <v>858</v>
      </c>
      <c r="G1251" s="8"/>
      <c r="H1251" s="7">
        <f t="shared" si="222"/>
        <v>0</v>
      </c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9">
        <f t="shared" si="218"/>
        <v>858</v>
      </c>
      <c r="T1251" s="10">
        <f t="shared" si="219"/>
        <v>0</v>
      </c>
      <c r="U1251" s="10"/>
    </row>
    <row r="1252" spans="1:21">
      <c r="A1252" s="6"/>
      <c r="B1252" s="11" t="s">
        <v>90</v>
      </c>
      <c r="C1252" s="7" t="s">
        <v>26</v>
      </c>
      <c r="D1252" s="7"/>
      <c r="E1252" s="7"/>
      <c r="F1252" s="7">
        <f t="shared" ref="F1252:F1266" si="223">S1167</f>
        <v>0</v>
      </c>
      <c r="G1252" s="8"/>
      <c r="H1252" s="7">
        <f t="shared" si="222"/>
        <v>0</v>
      </c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9">
        <f t="shared" si="218"/>
        <v>0</v>
      </c>
      <c r="T1252" s="10">
        <f t="shared" si="219"/>
        <v>0</v>
      </c>
      <c r="U1252" s="10"/>
    </row>
    <row r="1253" spans="1:21">
      <c r="A1253" s="6"/>
      <c r="B1253" s="11" t="s">
        <v>91</v>
      </c>
      <c r="C1253" s="7" t="s">
        <v>26</v>
      </c>
      <c r="D1253" s="7"/>
      <c r="E1253" s="7"/>
      <c r="F1253" s="7">
        <f t="shared" si="223"/>
        <v>138</v>
      </c>
      <c r="G1253" s="8"/>
      <c r="H1253" s="7">
        <f t="shared" si="222"/>
        <v>0</v>
      </c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9">
        <f t="shared" si="218"/>
        <v>138</v>
      </c>
      <c r="T1253" s="10">
        <f t="shared" si="219"/>
        <v>0</v>
      </c>
      <c r="U1253" s="10"/>
    </row>
    <row r="1254" spans="1:21">
      <c r="A1254" s="6"/>
      <c r="B1254" s="12" t="s">
        <v>92</v>
      </c>
      <c r="C1254" s="13" t="s">
        <v>26</v>
      </c>
      <c r="D1254" s="7"/>
      <c r="E1254" s="7"/>
      <c r="F1254" s="7">
        <f t="shared" si="223"/>
        <v>1789</v>
      </c>
      <c r="G1254" s="8"/>
      <c r="H1254" s="7">
        <f t="shared" si="222"/>
        <v>0</v>
      </c>
      <c r="I1254" s="7"/>
      <c r="J1254" s="7">
        <v>240</v>
      </c>
      <c r="K1254" s="7"/>
      <c r="L1254" s="7"/>
      <c r="M1254" s="7">
        <v>2</v>
      </c>
      <c r="N1254" s="7"/>
      <c r="O1254" s="7"/>
      <c r="P1254" s="7"/>
      <c r="Q1254" s="7"/>
      <c r="R1254" s="7"/>
      <c r="S1254" s="9">
        <f t="shared" si="218"/>
        <v>1551</v>
      </c>
      <c r="T1254" s="10">
        <f t="shared" si="219"/>
        <v>0</v>
      </c>
      <c r="U1254" s="10"/>
    </row>
    <row r="1255" spans="1:21">
      <c r="A1255" s="6"/>
      <c r="B1255" s="12" t="s">
        <v>93</v>
      </c>
      <c r="C1255" s="13" t="s">
        <v>26</v>
      </c>
      <c r="D1255" s="7"/>
      <c r="E1255" s="7"/>
      <c r="F1255" s="7">
        <f t="shared" si="223"/>
        <v>2844</v>
      </c>
      <c r="G1255" s="8"/>
      <c r="H1255" s="7">
        <f t="shared" si="222"/>
        <v>0</v>
      </c>
      <c r="I1255" s="7"/>
      <c r="J1255" s="7"/>
      <c r="K1255" s="7"/>
      <c r="L1255" s="7"/>
      <c r="M1255" s="7">
        <v>19</v>
      </c>
      <c r="N1255" s="7"/>
      <c r="O1255" s="7"/>
      <c r="P1255" s="7"/>
      <c r="Q1255" s="7"/>
      <c r="R1255" s="7"/>
      <c r="S1255" s="9">
        <f t="shared" si="218"/>
        <v>2863</v>
      </c>
      <c r="T1255" s="10">
        <f t="shared" si="219"/>
        <v>0</v>
      </c>
      <c r="U1255" s="10"/>
    </row>
    <row r="1256" spans="1:21">
      <c r="A1256" s="6"/>
      <c r="B1256" s="11" t="s">
        <v>94</v>
      </c>
      <c r="C1256" s="7" t="s">
        <v>41</v>
      </c>
      <c r="D1256" s="7"/>
      <c r="E1256" s="7"/>
      <c r="F1256" s="7">
        <f t="shared" si="223"/>
        <v>0</v>
      </c>
      <c r="G1256" s="8"/>
      <c r="H1256" s="7">
        <f t="shared" si="222"/>
        <v>0</v>
      </c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9">
        <f t="shared" si="218"/>
        <v>0</v>
      </c>
      <c r="T1256" s="10">
        <f t="shared" si="219"/>
        <v>0</v>
      </c>
      <c r="U1256" s="10"/>
    </row>
    <row r="1257" spans="1:21">
      <c r="A1257" s="6"/>
      <c r="B1257" s="11" t="s">
        <v>95</v>
      </c>
      <c r="C1257" s="7" t="s">
        <v>41</v>
      </c>
      <c r="D1257" s="7"/>
      <c r="E1257" s="7"/>
      <c r="F1257" s="7">
        <f t="shared" si="223"/>
        <v>39</v>
      </c>
      <c r="G1257" s="8"/>
      <c r="H1257" s="7">
        <f t="shared" si="222"/>
        <v>0</v>
      </c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9">
        <f t="shared" si="218"/>
        <v>39</v>
      </c>
      <c r="T1257" s="10">
        <f t="shared" si="219"/>
        <v>0</v>
      </c>
      <c r="U1257" s="10"/>
    </row>
    <row r="1258" spans="1:21">
      <c r="A1258" s="6"/>
      <c r="B1258" s="11" t="s">
        <v>96</v>
      </c>
      <c r="C1258" s="7" t="s">
        <v>41</v>
      </c>
      <c r="D1258" s="7"/>
      <c r="E1258" s="7"/>
      <c r="F1258" s="7">
        <f t="shared" si="223"/>
        <v>0</v>
      </c>
      <c r="G1258" s="8"/>
      <c r="H1258" s="7">
        <f t="shared" si="222"/>
        <v>0</v>
      </c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9">
        <f t="shared" si="218"/>
        <v>0</v>
      </c>
      <c r="T1258" s="10">
        <f t="shared" si="219"/>
        <v>0</v>
      </c>
      <c r="U1258" s="10"/>
    </row>
    <row r="1259" spans="1:21">
      <c r="A1259" s="6"/>
      <c r="B1259" s="11" t="s">
        <v>97</v>
      </c>
      <c r="C1259" s="7" t="s">
        <v>41</v>
      </c>
      <c r="D1259" s="7"/>
      <c r="E1259" s="7"/>
      <c r="F1259" s="7">
        <f t="shared" si="223"/>
        <v>0</v>
      </c>
      <c r="G1259" s="8"/>
      <c r="H1259" s="7">
        <f t="shared" si="222"/>
        <v>0</v>
      </c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9">
        <f t="shared" si="218"/>
        <v>0</v>
      </c>
      <c r="T1259" s="10">
        <f t="shared" si="219"/>
        <v>0</v>
      </c>
      <c r="U1259" s="10"/>
    </row>
    <row r="1260" spans="1:21">
      <c r="A1260" s="6"/>
      <c r="B1260" s="11" t="s">
        <v>98</v>
      </c>
      <c r="C1260" s="7" t="s">
        <v>26</v>
      </c>
      <c r="D1260" s="7"/>
      <c r="E1260" s="7"/>
      <c r="F1260" s="7">
        <f t="shared" ref="F1260:F1276" si="224">S1175</f>
        <v>1065</v>
      </c>
      <c r="G1260" s="8"/>
      <c r="H1260" s="7">
        <f t="shared" si="222"/>
        <v>0</v>
      </c>
      <c r="I1260" s="7"/>
      <c r="J1260" s="7">
        <v>132</v>
      </c>
      <c r="K1260" s="7"/>
      <c r="L1260" s="7"/>
      <c r="M1260" s="7"/>
      <c r="N1260" s="7"/>
      <c r="O1260" s="7"/>
      <c r="P1260" s="7"/>
      <c r="Q1260" s="7"/>
      <c r="R1260" s="7"/>
      <c r="S1260" s="9">
        <f t="shared" si="218"/>
        <v>933</v>
      </c>
      <c r="T1260" s="10">
        <f t="shared" si="219"/>
        <v>0</v>
      </c>
      <c r="U1260" s="10"/>
    </row>
    <row r="1261" spans="1:21">
      <c r="A1261" s="6"/>
      <c r="B1261" s="11" t="s">
        <v>99</v>
      </c>
      <c r="C1261" s="7" t="s">
        <v>26</v>
      </c>
      <c r="D1261" s="7"/>
      <c r="E1261" s="7"/>
      <c r="F1261" s="7">
        <f t="shared" si="224"/>
        <v>1237</v>
      </c>
      <c r="G1261" s="8"/>
      <c r="H1261" s="7">
        <f t="shared" si="222"/>
        <v>0</v>
      </c>
      <c r="I1261" s="7"/>
      <c r="J1261" s="7"/>
      <c r="K1261" s="7"/>
      <c r="L1261" s="7"/>
      <c r="M1261" s="7">
        <v>22</v>
      </c>
      <c r="N1261" s="7"/>
      <c r="O1261" s="7"/>
      <c r="P1261" s="7"/>
      <c r="Q1261" s="7"/>
      <c r="R1261" s="7"/>
      <c r="S1261" s="9">
        <f t="shared" si="218"/>
        <v>1259</v>
      </c>
      <c r="T1261" s="10">
        <f t="shared" si="219"/>
        <v>0</v>
      </c>
      <c r="U1261" s="10"/>
    </row>
    <row r="1262" spans="1:21">
      <c r="A1262" s="6"/>
      <c r="B1262" s="11" t="s">
        <v>100</v>
      </c>
      <c r="C1262" s="7" t="s">
        <v>26</v>
      </c>
      <c r="D1262" s="7"/>
      <c r="E1262" s="7"/>
      <c r="F1262" s="7">
        <f t="shared" si="224"/>
        <v>597</v>
      </c>
      <c r="G1262" s="8"/>
      <c r="H1262" s="7">
        <f t="shared" si="222"/>
        <v>0</v>
      </c>
      <c r="I1262" s="7"/>
      <c r="J1262" s="7">
        <v>30</v>
      </c>
      <c r="K1262" s="7"/>
      <c r="L1262" s="7"/>
      <c r="M1262" s="7"/>
      <c r="N1262" s="7"/>
      <c r="O1262" s="7"/>
      <c r="P1262" s="7"/>
      <c r="Q1262" s="7"/>
      <c r="R1262" s="7"/>
      <c r="S1262" s="9">
        <f t="shared" si="218"/>
        <v>567</v>
      </c>
      <c r="T1262" s="10">
        <f t="shared" si="219"/>
        <v>0</v>
      </c>
      <c r="U1262" s="10"/>
    </row>
    <row r="1263" spans="1:21">
      <c r="A1263" s="6"/>
      <c r="B1263" s="11" t="s">
        <v>101</v>
      </c>
      <c r="C1263" s="7" t="s">
        <v>26</v>
      </c>
      <c r="D1263" s="7"/>
      <c r="E1263" s="7"/>
      <c r="F1263" s="7">
        <f t="shared" si="224"/>
        <v>352</v>
      </c>
      <c r="G1263" s="8"/>
      <c r="H1263" s="7">
        <f t="shared" si="222"/>
        <v>0</v>
      </c>
      <c r="I1263" s="7"/>
      <c r="J1263" s="7"/>
      <c r="K1263" s="7"/>
      <c r="L1263" s="7"/>
      <c r="M1263" s="7">
        <v>16</v>
      </c>
      <c r="N1263" s="7"/>
      <c r="O1263" s="7"/>
      <c r="P1263" s="7"/>
      <c r="Q1263" s="7"/>
      <c r="R1263" s="7"/>
      <c r="S1263" s="9">
        <f t="shared" si="218"/>
        <v>368</v>
      </c>
      <c r="T1263" s="10">
        <f t="shared" si="219"/>
        <v>0</v>
      </c>
      <c r="U1263" s="10"/>
    </row>
    <row r="1264" spans="1:21">
      <c r="A1264" s="6"/>
      <c r="B1264" s="11" t="s">
        <v>102</v>
      </c>
      <c r="C1264" s="7" t="s">
        <v>26</v>
      </c>
      <c r="D1264" s="7"/>
      <c r="E1264" s="7"/>
      <c r="F1264" s="7">
        <f t="shared" si="224"/>
        <v>742</v>
      </c>
      <c r="G1264" s="8"/>
      <c r="H1264" s="7">
        <f t="shared" si="222"/>
        <v>0</v>
      </c>
      <c r="I1264" s="7"/>
      <c r="J1264" s="7">
        <v>20</v>
      </c>
      <c r="K1264" s="7"/>
      <c r="L1264" s="7"/>
      <c r="M1264" s="7"/>
      <c r="N1264" s="7"/>
      <c r="O1264" s="7"/>
      <c r="P1264" s="7"/>
      <c r="Q1264" s="7"/>
      <c r="R1264" s="7"/>
      <c r="S1264" s="9">
        <f t="shared" si="218"/>
        <v>722</v>
      </c>
      <c r="T1264" s="10">
        <f t="shared" si="219"/>
        <v>0</v>
      </c>
      <c r="U1264" s="10"/>
    </row>
    <row r="1265" spans="1:25">
      <c r="A1265" s="6"/>
      <c r="B1265" s="11" t="s">
        <v>103</v>
      </c>
      <c r="C1265" s="7" t="s">
        <v>26</v>
      </c>
      <c r="D1265" s="7"/>
      <c r="E1265" s="7"/>
      <c r="F1265" s="7">
        <f t="shared" si="224"/>
        <v>303</v>
      </c>
      <c r="G1265" s="8"/>
      <c r="H1265" s="7">
        <f t="shared" si="222"/>
        <v>0</v>
      </c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9">
        <f t="shared" si="218"/>
        <v>303</v>
      </c>
      <c r="T1265" s="10">
        <f t="shared" si="219"/>
        <v>0</v>
      </c>
      <c r="U1265" s="10"/>
    </row>
    <row r="1266" spans="1:25">
      <c r="A1266" s="6"/>
      <c r="B1266" s="11" t="s">
        <v>112</v>
      </c>
      <c r="C1266" s="7" t="s">
        <v>113</v>
      </c>
      <c r="D1266" s="7"/>
      <c r="E1266" s="7"/>
      <c r="F1266" s="7">
        <f t="shared" si="224"/>
        <v>1383</v>
      </c>
      <c r="G1266" s="8"/>
      <c r="H1266" s="7">
        <f t="shared" si="222"/>
        <v>0</v>
      </c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9">
        <f t="shared" si="218"/>
        <v>1383</v>
      </c>
      <c r="T1266" s="10">
        <f t="shared" si="219"/>
        <v>0</v>
      </c>
      <c r="U1266" s="10"/>
    </row>
    <row r="1267" spans="1:25">
      <c r="A1267" s="6"/>
      <c r="B1267" s="11"/>
      <c r="C1267" s="7"/>
      <c r="D1267" s="7"/>
      <c r="E1267" s="7"/>
      <c r="F1267" s="7">
        <f t="shared" si="224"/>
        <v>0</v>
      </c>
      <c r="G1267" s="8"/>
      <c r="H1267" s="7">
        <f t="shared" si="222"/>
        <v>0</v>
      </c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9">
        <f t="shared" si="218"/>
        <v>0</v>
      </c>
      <c r="T1267" s="10">
        <f t="shared" si="219"/>
        <v>0</v>
      </c>
      <c r="U1267" s="10"/>
    </row>
    <row r="1268" spans="1:25">
      <c r="A1268" s="6"/>
      <c r="B1268" s="11"/>
      <c r="C1268" s="7"/>
      <c r="D1268" s="7"/>
      <c r="E1268" s="7"/>
      <c r="F1268" s="7">
        <f t="shared" si="224"/>
        <v>0</v>
      </c>
      <c r="G1268" s="8"/>
      <c r="H1268" s="7">
        <f t="shared" si="222"/>
        <v>0</v>
      </c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9">
        <f t="shared" si="218"/>
        <v>0</v>
      </c>
      <c r="T1268" s="10">
        <f t="shared" si="219"/>
        <v>0</v>
      </c>
      <c r="U1268" s="10"/>
    </row>
    <row r="1269" spans="1:25">
      <c r="A1269" s="6"/>
      <c r="B1269" s="11"/>
      <c r="C1269" s="7"/>
      <c r="D1269" s="7"/>
      <c r="E1269" s="7"/>
      <c r="F1269" s="7">
        <f t="shared" si="224"/>
        <v>0</v>
      </c>
      <c r="G1269" s="8"/>
      <c r="H1269" s="7">
        <f t="shared" si="222"/>
        <v>0</v>
      </c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9">
        <f t="shared" si="218"/>
        <v>0</v>
      </c>
      <c r="T1269" s="10">
        <f t="shared" si="219"/>
        <v>0</v>
      </c>
      <c r="U1269" s="10"/>
    </row>
    <row r="1270" spans="1:25">
      <c r="A1270" s="6"/>
      <c r="B1270" s="11"/>
      <c r="C1270" s="7"/>
      <c r="D1270" s="7"/>
      <c r="E1270" s="7"/>
      <c r="F1270" s="7">
        <f t="shared" si="224"/>
        <v>0</v>
      </c>
      <c r="G1270" s="8"/>
      <c r="H1270" s="7">
        <f t="shared" si="222"/>
        <v>0</v>
      </c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9">
        <f t="shared" si="218"/>
        <v>0</v>
      </c>
      <c r="T1270" s="10">
        <f t="shared" si="219"/>
        <v>0</v>
      </c>
      <c r="U1270" s="10"/>
    </row>
    <row r="1271" spans="1:25">
      <c r="A1271" s="6"/>
      <c r="B1271" s="11"/>
      <c r="C1271" s="7"/>
      <c r="D1271" s="7"/>
      <c r="E1271" s="7"/>
      <c r="F1271" s="7">
        <f t="shared" si="224"/>
        <v>0</v>
      </c>
      <c r="G1271" s="8"/>
      <c r="H1271" s="7">
        <f t="shared" si="222"/>
        <v>0</v>
      </c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9">
        <f t="shared" si="218"/>
        <v>0</v>
      </c>
      <c r="T1271" s="10">
        <f t="shared" si="219"/>
        <v>0</v>
      </c>
      <c r="U1271" s="10"/>
    </row>
    <row r="1272" spans="1:25">
      <c r="A1272" s="6"/>
      <c r="B1272" s="11"/>
      <c r="C1272" s="7"/>
      <c r="D1272" s="7"/>
      <c r="E1272" s="7"/>
      <c r="F1272" s="7">
        <f t="shared" si="224"/>
        <v>0</v>
      </c>
      <c r="G1272" s="8"/>
      <c r="H1272" s="7">
        <f t="shared" si="222"/>
        <v>0</v>
      </c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9">
        <f t="shared" si="218"/>
        <v>0</v>
      </c>
      <c r="T1272" s="10">
        <f t="shared" si="219"/>
        <v>0</v>
      </c>
      <c r="U1272" s="10"/>
    </row>
    <row r="1273" spans="1:25">
      <c r="A1273" s="6"/>
      <c r="B1273" s="11"/>
      <c r="C1273" s="7"/>
      <c r="D1273" s="7"/>
      <c r="E1273" s="7"/>
      <c r="F1273" s="7">
        <f t="shared" si="224"/>
        <v>0</v>
      </c>
      <c r="G1273" s="8"/>
      <c r="H1273" s="7">
        <f t="shared" si="222"/>
        <v>0</v>
      </c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9">
        <f t="shared" si="218"/>
        <v>0</v>
      </c>
      <c r="T1273" s="10">
        <f t="shared" si="219"/>
        <v>0</v>
      </c>
      <c r="U1273" s="10"/>
    </row>
    <row r="1274" spans="1:25">
      <c r="A1274" s="6"/>
      <c r="B1274" s="11"/>
      <c r="C1274" s="7"/>
      <c r="D1274" s="7"/>
      <c r="E1274" s="7"/>
      <c r="F1274" s="7">
        <f t="shared" si="224"/>
        <v>0</v>
      </c>
      <c r="G1274" s="8"/>
      <c r="H1274" s="7">
        <f t="shared" si="222"/>
        <v>0</v>
      </c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9">
        <f t="shared" si="218"/>
        <v>0</v>
      </c>
      <c r="T1274" s="10">
        <f t="shared" si="219"/>
        <v>0</v>
      </c>
      <c r="U1274" s="10"/>
    </row>
    <row r="1275" spans="1:25">
      <c r="A1275" s="6"/>
      <c r="B1275" s="11"/>
      <c r="C1275" s="7"/>
      <c r="D1275" s="7"/>
      <c r="E1275" s="7"/>
      <c r="F1275" s="7">
        <f t="shared" si="224"/>
        <v>0</v>
      </c>
      <c r="G1275" s="8"/>
      <c r="H1275" s="7">
        <f t="shared" si="222"/>
        <v>0</v>
      </c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9">
        <f t="shared" si="218"/>
        <v>0</v>
      </c>
      <c r="T1275" s="10">
        <f t="shared" si="219"/>
        <v>0</v>
      </c>
      <c r="U1275" s="10"/>
    </row>
    <row r="1276" spans="1:25">
      <c r="A1276" s="6"/>
      <c r="B1276" s="11"/>
      <c r="C1276" s="7"/>
      <c r="D1276" s="7"/>
      <c r="E1276" s="7"/>
      <c r="F1276" s="7">
        <f t="shared" si="224"/>
        <v>0</v>
      </c>
      <c r="G1276" s="8"/>
      <c r="H1276" s="7">
        <f t="shared" si="222"/>
        <v>0</v>
      </c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9">
        <f t="shared" si="218"/>
        <v>0</v>
      </c>
      <c r="T1276" s="10">
        <f t="shared" si="219"/>
        <v>0</v>
      </c>
      <c r="U1276" s="10"/>
      <c r="V1276">
        <f>X1276*0.1</f>
        <v>0</v>
      </c>
      <c r="W1276">
        <f>E1276*S1276*1.5</f>
        <v>0</v>
      </c>
      <c r="X1276">
        <f>J1276+K1276</f>
        <v>0</v>
      </c>
      <c r="Y1276">
        <f>X1276*0.13</f>
        <v>0</v>
      </c>
    </row>
    <row r="1277" spans="1:25">
      <c r="A1277" s="6">
        <v>46158</v>
      </c>
      <c r="B1277" t="s">
        <v>25</v>
      </c>
      <c r="C1277" s="7" t="s">
        <v>26</v>
      </c>
      <c r="D1277" s="7"/>
      <c r="E1277" s="7"/>
      <c r="F1277" s="7">
        <f t="shared" ref="F1276:F1288" si="225">S1192</f>
        <v>1557</v>
      </c>
      <c r="G1277" s="8"/>
      <c r="H1277" s="7">
        <f t="shared" si="222"/>
        <v>0</v>
      </c>
      <c r="I1277" s="7"/>
      <c r="J1277" s="7">
        <v>157</v>
      </c>
      <c r="K1277" s="7"/>
      <c r="L1277" s="7"/>
      <c r="M1277" s="7"/>
      <c r="N1277" s="7"/>
      <c r="O1277" s="7"/>
      <c r="P1277" s="7"/>
      <c r="Q1277" s="7"/>
      <c r="R1277" s="7"/>
      <c r="S1277" s="9">
        <f t="shared" si="218"/>
        <v>1400</v>
      </c>
      <c r="T1277" s="10">
        <f t="shared" si="219"/>
        <v>0</v>
      </c>
      <c r="U1277" s="10"/>
      <c r="V1277">
        <f t="shared" ref="V1277:V1283" si="226">X1277*0.1</f>
        <v>15.7</v>
      </c>
      <c r="W1277">
        <f t="shared" ref="W1277:W1283" si="227">E1277*S1277*1.5</f>
        <v>0</v>
      </c>
      <c r="X1277">
        <f t="shared" ref="X1277:X1283" si="228">J1277+K1277</f>
        <v>157</v>
      </c>
      <c r="Y1277">
        <f t="shared" ref="Y1277:Y1283" si="229">X1277*0.13</f>
        <v>20.41</v>
      </c>
    </row>
    <row r="1278" spans="1:25">
      <c r="A1278" s="6"/>
      <c r="B1278" t="s">
        <v>27</v>
      </c>
      <c r="C1278" s="7" t="s">
        <v>26</v>
      </c>
      <c r="D1278" s="7"/>
      <c r="E1278" s="7"/>
      <c r="F1278" s="7">
        <f t="shared" si="225"/>
        <v>609</v>
      </c>
      <c r="G1278" s="8"/>
      <c r="H1278" s="7">
        <f t="shared" si="222"/>
        <v>0</v>
      </c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9">
        <f t="shared" si="218"/>
        <v>609</v>
      </c>
      <c r="T1278" s="10">
        <f t="shared" si="219"/>
        <v>0</v>
      </c>
      <c r="U1278" s="10"/>
      <c r="V1278">
        <f t="shared" si="226"/>
        <v>0</v>
      </c>
      <c r="W1278">
        <f t="shared" si="227"/>
        <v>0</v>
      </c>
      <c r="X1278">
        <f t="shared" si="228"/>
        <v>0</v>
      </c>
      <c r="Y1278">
        <f t="shared" si="229"/>
        <v>0</v>
      </c>
    </row>
    <row r="1279" spans="1:25">
      <c r="A1279" s="6"/>
      <c r="B1279" s="6" t="s">
        <v>28</v>
      </c>
      <c r="C1279" s="7" t="s">
        <v>26</v>
      </c>
      <c r="D1279" s="7"/>
      <c r="E1279" s="7"/>
      <c r="F1279" s="7">
        <f t="shared" si="225"/>
        <v>946</v>
      </c>
      <c r="G1279" s="8"/>
      <c r="H1279" s="7">
        <f t="shared" si="222"/>
        <v>0</v>
      </c>
      <c r="I1279" s="7"/>
      <c r="J1279" s="7">
        <v>120</v>
      </c>
      <c r="K1279" s="7"/>
      <c r="L1279" s="7"/>
      <c r="M1279" s="7"/>
      <c r="N1279" s="7"/>
      <c r="O1279" s="7"/>
      <c r="P1279" s="7"/>
      <c r="Q1279" s="7"/>
      <c r="R1279" s="7"/>
      <c r="S1279" s="9">
        <f t="shared" si="218"/>
        <v>826</v>
      </c>
      <c r="T1279" s="10">
        <f t="shared" si="219"/>
        <v>0</v>
      </c>
      <c r="U1279" s="10"/>
      <c r="V1279">
        <f t="shared" si="226"/>
        <v>12</v>
      </c>
      <c r="W1279">
        <f t="shared" si="227"/>
        <v>0</v>
      </c>
      <c r="X1279">
        <f t="shared" si="228"/>
        <v>120</v>
      </c>
      <c r="Y1279">
        <f t="shared" si="229"/>
        <v>15.6</v>
      </c>
    </row>
    <row r="1280" spans="1:25">
      <c r="A1280" s="6"/>
      <c r="B1280" s="6" t="s">
        <v>29</v>
      </c>
      <c r="C1280" s="7" t="s">
        <v>26</v>
      </c>
      <c r="D1280" s="7"/>
      <c r="E1280" s="7"/>
      <c r="F1280" s="7">
        <f t="shared" si="225"/>
        <v>270</v>
      </c>
      <c r="G1280" s="8"/>
      <c r="H1280" s="7">
        <f t="shared" si="222"/>
        <v>0</v>
      </c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9">
        <f t="shared" si="218"/>
        <v>270</v>
      </c>
      <c r="T1280" s="10">
        <f t="shared" si="219"/>
        <v>0</v>
      </c>
      <c r="U1280" s="10"/>
      <c r="V1280">
        <f t="shared" si="226"/>
        <v>0</v>
      </c>
      <c r="W1280">
        <f t="shared" si="227"/>
        <v>0</v>
      </c>
      <c r="X1280">
        <f t="shared" si="228"/>
        <v>0</v>
      </c>
      <c r="Y1280">
        <f t="shared" si="229"/>
        <v>0</v>
      </c>
    </row>
    <row r="1281" spans="1:25">
      <c r="A1281" s="6"/>
      <c r="B1281" s="6" t="s">
        <v>30</v>
      </c>
      <c r="C1281" s="7" t="s">
        <v>26</v>
      </c>
      <c r="D1281" s="7"/>
      <c r="E1281" s="7"/>
      <c r="F1281" s="7">
        <f t="shared" si="225"/>
        <v>2819</v>
      </c>
      <c r="G1281" s="8"/>
      <c r="H1281" s="7">
        <f t="shared" si="222"/>
        <v>0</v>
      </c>
      <c r="I1281" s="7"/>
      <c r="J1281" s="7">
        <v>120</v>
      </c>
      <c r="K1281" s="7"/>
      <c r="L1281" s="7"/>
      <c r="M1281" s="7"/>
      <c r="N1281" s="7"/>
      <c r="O1281" s="7"/>
      <c r="P1281" s="7"/>
      <c r="Q1281" s="7"/>
      <c r="R1281" s="7"/>
      <c r="S1281" s="9">
        <f t="shared" si="218"/>
        <v>2699</v>
      </c>
      <c r="T1281" s="10">
        <f t="shared" si="219"/>
        <v>0</v>
      </c>
      <c r="U1281" s="10"/>
      <c r="V1281">
        <f t="shared" si="226"/>
        <v>12</v>
      </c>
      <c r="W1281">
        <f t="shared" si="227"/>
        <v>0</v>
      </c>
      <c r="X1281">
        <f t="shared" si="228"/>
        <v>120</v>
      </c>
      <c r="Y1281">
        <f t="shared" si="229"/>
        <v>15.6</v>
      </c>
    </row>
    <row r="1282" spans="1:25">
      <c r="A1282" s="6"/>
      <c r="B1282" s="6" t="s">
        <v>31</v>
      </c>
      <c r="C1282" s="7" t="s">
        <v>26</v>
      </c>
      <c r="D1282" s="7"/>
      <c r="E1282" s="7"/>
      <c r="F1282" s="7">
        <f t="shared" si="225"/>
        <v>1562</v>
      </c>
      <c r="G1282" s="8"/>
      <c r="H1282" s="7">
        <f t="shared" si="222"/>
        <v>0</v>
      </c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9">
        <f t="shared" si="218"/>
        <v>1562</v>
      </c>
      <c r="T1282" s="10">
        <f t="shared" si="219"/>
        <v>0</v>
      </c>
      <c r="U1282" s="10"/>
      <c r="V1282">
        <f t="shared" si="226"/>
        <v>0</v>
      </c>
      <c r="W1282">
        <f t="shared" si="227"/>
        <v>0</v>
      </c>
      <c r="X1282">
        <f t="shared" si="228"/>
        <v>0</v>
      </c>
      <c r="Y1282">
        <f t="shared" si="229"/>
        <v>0</v>
      </c>
    </row>
    <row r="1283" spans="1:25">
      <c r="A1283" s="6"/>
      <c r="B1283" s="6" t="s">
        <v>32</v>
      </c>
      <c r="C1283" s="7" t="s">
        <v>26</v>
      </c>
      <c r="D1283" s="7"/>
      <c r="E1283" s="7"/>
      <c r="F1283" s="7">
        <f t="shared" si="225"/>
        <v>1045</v>
      </c>
      <c r="G1283" s="8"/>
      <c r="H1283" s="7">
        <f t="shared" si="222"/>
        <v>0</v>
      </c>
      <c r="I1283" s="7"/>
      <c r="J1283" s="7">
        <v>285</v>
      </c>
      <c r="K1283" s="7"/>
      <c r="L1283" s="7"/>
      <c r="M1283" s="7"/>
      <c r="N1283" s="7"/>
      <c r="O1283" s="7"/>
      <c r="P1283" s="7"/>
      <c r="Q1283" s="7"/>
      <c r="R1283" s="7"/>
      <c r="S1283" s="9">
        <f t="shared" si="218"/>
        <v>760</v>
      </c>
      <c r="T1283" s="10">
        <f t="shared" si="219"/>
        <v>0</v>
      </c>
      <c r="U1283" s="10"/>
      <c r="V1283">
        <f t="shared" si="226"/>
        <v>28.5</v>
      </c>
      <c r="W1283">
        <f t="shared" si="227"/>
        <v>0</v>
      </c>
      <c r="X1283">
        <f t="shared" si="228"/>
        <v>285</v>
      </c>
      <c r="Y1283">
        <f t="shared" si="229"/>
        <v>37.05</v>
      </c>
    </row>
    <row r="1284" spans="1:25">
      <c r="A1284" s="6"/>
      <c r="B1284" s="6" t="s">
        <v>33</v>
      </c>
      <c r="C1284" s="7" t="s">
        <v>26</v>
      </c>
      <c r="D1284" s="7"/>
      <c r="E1284" s="7"/>
      <c r="F1284" s="7">
        <f t="shared" si="225"/>
        <v>1591</v>
      </c>
      <c r="G1284" s="8"/>
      <c r="H1284" s="7">
        <f t="shared" si="222"/>
        <v>0</v>
      </c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9">
        <f t="shared" si="218"/>
        <v>1591</v>
      </c>
      <c r="T1284" s="10">
        <f t="shared" si="219"/>
        <v>0</v>
      </c>
      <c r="U1284" s="10"/>
    </row>
    <row r="1285" spans="1:25">
      <c r="A1285" s="6"/>
      <c r="B1285" s="11" t="s">
        <v>34</v>
      </c>
      <c r="C1285" s="7" t="s">
        <v>26</v>
      </c>
      <c r="D1285" s="7"/>
      <c r="E1285" s="7"/>
      <c r="F1285" s="7">
        <f t="shared" si="225"/>
        <v>17</v>
      </c>
      <c r="G1285" s="8"/>
      <c r="H1285" s="7">
        <f t="shared" si="222"/>
        <v>0</v>
      </c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9">
        <f t="shared" si="218"/>
        <v>17</v>
      </c>
      <c r="T1285" s="10">
        <f t="shared" si="219"/>
        <v>0</v>
      </c>
      <c r="U1285" s="10"/>
    </row>
    <row r="1286" spans="1:25">
      <c r="A1286" s="6"/>
      <c r="B1286" s="11" t="s">
        <v>35</v>
      </c>
      <c r="C1286" s="7" t="s">
        <v>26</v>
      </c>
      <c r="D1286" s="7"/>
      <c r="E1286" s="7"/>
      <c r="F1286" s="7">
        <f t="shared" si="225"/>
        <v>120</v>
      </c>
      <c r="G1286" s="8"/>
      <c r="H1286" s="7">
        <f t="shared" si="222"/>
        <v>0</v>
      </c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9">
        <f t="shared" si="218"/>
        <v>120</v>
      </c>
      <c r="T1286" s="10">
        <f t="shared" si="219"/>
        <v>0</v>
      </c>
      <c r="U1286" s="10"/>
    </row>
    <row r="1287" spans="1:25">
      <c r="A1287" s="6"/>
      <c r="B1287" s="11" t="s">
        <v>36</v>
      </c>
      <c r="C1287" s="7" t="s">
        <v>26</v>
      </c>
      <c r="D1287" s="7"/>
      <c r="E1287" s="7"/>
      <c r="F1287" s="7">
        <f t="shared" si="225"/>
        <v>0</v>
      </c>
      <c r="G1287" s="8">
        <v>7662</v>
      </c>
      <c r="H1287" s="7">
        <f t="shared" si="222"/>
        <v>0</v>
      </c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9">
        <f t="shared" ref="S1287:S1350" si="230">F1287+G1287-J1287-K1287-L1287+M1287+O1287-P1287-R1287</f>
        <v>7662</v>
      </c>
      <c r="T1287" s="10">
        <f t="shared" ref="T1287:T1350" si="231">H1287+I1287+N1287+R1287-Q1287</f>
        <v>0</v>
      </c>
      <c r="U1287" s="10"/>
    </row>
    <row r="1288" spans="1:25">
      <c r="A1288" s="6"/>
      <c r="B1288" s="11" t="s">
        <v>37</v>
      </c>
      <c r="C1288" s="7" t="s">
        <v>26</v>
      </c>
      <c r="D1288" s="7"/>
      <c r="E1288" s="7"/>
      <c r="F1288" s="7">
        <f t="shared" si="225"/>
        <v>24</v>
      </c>
      <c r="G1288" s="8">
        <v>1380</v>
      </c>
      <c r="H1288" s="7">
        <f t="shared" si="222"/>
        <v>0</v>
      </c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9">
        <f t="shared" si="230"/>
        <v>1404</v>
      </c>
      <c r="T1288" s="10">
        <f t="shared" si="231"/>
        <v>0</v>
      </c>
      <c r="U1288" s="10"/>
    </row>
    <row r="1289" spans="1:25">
      <c r="A1289" s="6"/>
      <c r="B1289" s="11" t="s">
        <v>38</v>
      </c>
      <c r="C1289" s="7" t="s">
        <v>26</v>
      </c>
      <c r="D1289" s="7"/>
      <c r="E1289" s="7"/>
      <c r="F1289" s="7">
        <f t="shared" ref="F1289:F1300" si="232">S1204</f>
        <v>0</v>
      </c>
      <c r="G1289" s="8"/>
      <c r="H1289" s="7">
        <f t="shared" si="222"/>
        <v>0</v>
      </c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9">
        <f t="shared" si="230"/>
        <v>0</v>
      </c>
      <c r="T1289" s="10">
        <f t="shared" si="231"/>
        <v>0</v>
      </c>
      <c r="U1289" s="10"/>
    </row>
    <row r="1290" spans="1:25">
      <c r="A1290" s="6"/>
      <c r="B1290" s="11" t="s">
        <v>39</v>
      </c>
      <c r="C1290" s="7" t="s">
        <v>26</v>
      </c>
      <c r="D1290" s="7"/>
      <c r="E1290" s="7"/>
      <c r="F1290" s="7">
        <f t="shared" si="232"/>
        <v>1740</v>
      </c>
      <c r="G1290" s="8"/>
      <c r="H1290" s="7">
        <f t="shared" si="222"/>
        <v>0</v>
      </c>
      <c r="I1290" s="7"/>
      <c r="J1290" s="7"/>
      <c r="K1290" s="7"/>
      <c r="L1290" s="7"/>
      <c r="M1290" s="7">
        <v>20</v>
      </c>
      <c r="N1290" s="7"/>
      <c r="O1290" s="7"/>
      <c r="P1290" s="7"/>
      <c r="Q1290" s="7"/>
      <c r="R1290" s="7"/>
      <c r="S1290" s="9">
        <f t="shared" si="230"/>
        <v>1760</v>
      </c>
      <c r="T1290" s="10">
        <f t="shared" si="231"/>
        <v>0</v>
      </c>
      <c r="U1290" s="10"/>
    </row>
    <row r="1291" spans="1:25">
      <c r="A1291" s="6"/>
      <c r="B1291" s="11" t="s">
        <v>40</v>
      </c>
      <c r="C1291" s="7" t="s">
        <v>41</v>
      </c>
      <c r="D1291" s="7"/>
      <c r="E1291" s="7"/>
      <c r="F1291" s="7">
        <f t="shared" si="232"/>
        <v>0</v>
      </c>
      <c r="G1291" s="8"/>
      <c r="H1291" s="7">
        <f t="shared" si="222"/>
        <v>0</v>
      </c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9">
        <f t="shared" si="230"/>
        <v>0</v>
      </c>
      <c r="T1291" s="10">
        <f t="shared" si="231"/>
        <v>0</v>
      </c>
      <c r="U1291" s="10"/>
    </row>
    <row r="1292" spans="1:25">
      <c r="A1292" s="6"/>
      <c r="B1292" s="11" t="s">
        <v>42</v>
      </c>
      <c r="C1292" s="7" t="s">
        <v>41</v>
      </c>
      <c r="D1292" s="7"/>
      <c r="E1292" s="7"/>
      <c r="F1292" s="7">
        <f t="shared" si="232"/>
        <v>53</v>
      </c>
      <c r="G1292" s="8"/>
      <c r="H1292" s="7">
        <f t="shared" si="222"/>
        <v>0</v>
      </c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9">
        <f t="shared" si="230"/>
        <v>53</v>
      </c>
      <c r="T1292" s="10">
        <f t="shared" si="231"/>
        <v>0</v>
      </c>
      <c r="U1292" s="10"/>
    </row>
    <row r="1293" spans="1:25">
      <c r="A1293" s="6"/>
      <c r="B1293" s="11" t="s">
        <v>43</v>
      </c>
      <c r="C1293" s="7" t="s">
        <v>41</v>
      </c>
      <c r="D1293" s="7"/>
      <c r="E1293" s="7"/>
      <c r="F1293" s="7">
        <f t="shared" si="232"/>
        <v>0</v>
      </c>
      <c r="G1293" s="8"/>
      <c r="H1293" s="7">
        <f t="shared" si="222"/>
        <v>0</v>
      </c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9">
        <f t="shared" si="230"/>
        <v>0</v>
      </c>
      <c r="T1293" s="10">
        <f t="shared" si="231"/>
        <v>0</v>
      </c>
      <c r="U1293" s="10"/>
    </row>
    <row r="1294" spans="1:25">
      <c r="A1294" s="6"/>
      <c r="B1294" s="11" t="s">
        <v>44</v>
      </c>
      <c r="C1294" s="7" t="s">
        <v>41</v>
      </c>
      <c r="D1294" s="7"/>
      <c r="E1294" s="7"/>
      <c r="F1294" s="7">
        <f t="shared" si="232"/>
        <v>75</v>
      </c>
      <c r="G1294" s="8"/>
      <c r="H1294" s="7">
        <f t="shared" si="222"/>
        <v>0</v>
      </c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9">
        <f t="shared" si="230"/>
        <v>75</v>
      </c>
      <c r="T1294" s="10">
        <f t="shared" si="231"/>
        <v>0</v>
      </c>
      <c r="U1294" s="10"/>
    </row>
    <row r="1295" spans="1:25">
      <c r="A1295" s="6"/>
      <c r="B1295" s="11" t="s">
        <v>45</v>
      </c>
      <c r="C1295" s="7" t="s">
        <v>41</v>
      </c>
      <c r="D1295" s="7"/>
      <c r="E1295" s="7"/>
      <c r="F1295" s="7">
        <f t="shared" si="232"/>
        <v>0</v>
      </c>
      <c r="G1295" s="8"/>
      <c r="H1295" s="7">
        <f t="shared" si="222"/>
        <v>0</v>
      </c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9">
        <f t="shared" si="230"/>
        <v>0</v>
      </c>
      <c r="T1295" s="10">
        <f t="shared" si="231"/>
        <v>0</v>
      </c>
      <c r="U1295" s="10"/>
    </row>
    <row r="1296" spans="1:25">
      <c r="A1296" s="6"/>
      <c r="B1296" s="11" t="s">
        <v>46</v>
      </c>
      <c r="C1296" s="7" t="s">
        <v>41</v>
      </c>
      <c r="D1296" s="7"/>
      <c r="E1296" s="7"/>
      <c r="F1296" s="7">
        <f t="shared" si="232"/>
        <v>17</v>
      </c>
      <c r="G1296" s="8"/>
      <c r="H1296" s="7">
        <f t="shared" si="222"/>
        <v>0</v>
      </c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9">
        <f t="shared" si="230"/>
        <v>17</v>
      </c>
      <c r="T1296" s="10">
        <f t="shared" si="231"/>
        <v>0</v>
      </c>
      <c r="U1296" s="10"/>
    </row>
    <row r="1297" spans="1:21">
      <c r="A1297" s="6"/>
      <c r="B1297" s="11" t="s">
        <v>47</v>
      </c>
      <c r="C1297" s="7" t="s">
        <v>26</v>
      </c>
      <c r="D1297" s="7"/>
      <c r="E1297" s="7"/>
      <c r="F1297" s="7">
        <f t="shared" si="232"/>
        <v>0</v>
      </c>
      <c r="G1297" s="8"/>
      <c r="H1297" s="7">
        <f t="shared" si="222"/>
        <v>0</v>
      </c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9">
        <f t="shared" si="230"/>
        <v>0</v>
      </c>
      <c r="T1297" s="10">
        <f t="shared" si="231"/>
        <v>0</v>
      </c>
      <c r="U1297" s="10"/>
    </row>
    <row r="1298" spans="1:21">
      <c r="A1298" s="6"/>
      <c r="B1298" s="11" t="s">
        <v>48</v>
      </c>
      <c r="C1298" s="7" t="s">
        <v>26</v>
      </c>
      <c r="D1298" s="7"/>
      <c r="E1298" s="7"/>
      <c r="F1298" s="7">
        <f t="shared" si="232"/>
        <v>24878</v>
      </c>
      <c r="G1298" s="8"/>
      <c r="H1298" s="7">
        <f t="shared" si="222"/>
        <v>0</v>
      </c>
      <c r="I1298" s="7"/>
      <c r="J1298" s="7">
        <v>1800</v>
      </c>
      <c r="K1298" s="7"/>
      <c r="L1298" s="7"/>
      <c r="M1298" s="7">
        <v>12</v>
      </c>
      <c r="N1298" s="7"/>
      <c r="O1298" s="7"/>
      <c r="P1298" s="7"/>
      <c r="Q1298" s="7"/>
      <c r="R1298" s="7"/>
      <c r="S1298" s="9">
        <f t="shared" si="230"/>
        <v>23090</v>
      </c>
      <c r="T1298" s="10">
        <f t="shared" si="231"/>
        <v>0</v>
      </c>
      <c r="U1298" s="10" t="s">
        <v>104</v>
      </c>
    </row>
    <row r="1299" spans="1:21">
      <c r="A1299" s="6"/>
      <c r="B1299" s="11" t="s">
        <v>50</v>
      </c>
      <c r="C1299" s="7" t="s">
        <v>26</v>
      </c>
      <c r="D1299" s="7"/>
      <c r="E1299" s="7"/>
      <c r="F1299" s="7">
        <f t="shared" ref="F1299:F1320" si="233">S1214</f>
        <v>0</v>
      </c>
      <c r="G1299" s="8"/>
      <c r="H1299" s="7">
        <f t="shared" si="222"/>
        <v>0</v>
      </c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9">
        <f t="shared" si="230"/>
        <v>0</v>
      </c>
      <c r="T1299" s="10">
        <f t="shared" si="231"/>
        <v>0</v>
      </c>
      <c r="U1299" s="10"/>
    </row>
    <row r="1300" spans="1:21">
      <c r="A1300" s="6"/>
      <c r="B1300" s="11" t="s">
        <v>51</v>
      </c>
      <c r="C1300" s="7" t="s">
        <v>26</v>
      </c>
      <c r="D1300" s="7"/>
      <c r="E1300" s="7"/>
      <c r="F1300" s="7">
        <f t="shared" si="233"/>
        <v>0</v>
      </c>
      <c r="G1300" s="8"/>
      <c r="H1300" s="7">
        <f t="shared" si="222"/>
        <v>0</v>
      </c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9">
        <f t="shared" si="230"/>
        <v>0</v>
      </c>
      <c r="T1300" s="10">
        <f t="shared" si="231"/>
        <v>0</v>
      </c>
      <c r="U1300" s="10"/>
    </row>
    <row r="1301" spans="1:21">
      <c r="A1301" s="6"/>
      <c r="B1301" s="11" t="s">
        <v>52</v>
      </c>
      <c r="C1301" s="7" t="s">
        <v>26</v>
      </c>
      <c r="D1301" s="7"/>
      <c r="E1301" s="7"/>
      <c r="F1301" s="7">
        <f t="shared" si="233"/>
        <v>6560</v>
      </c>
      <c r="G1301" s="8"/>
      <c r="H1301" s="7">
        <f t="shared" si="222"/>
        <v>0</v>
      </c>
      <c r="I1301" s="7"/>
      <c r="J1301" s="7">
        <v>1440</v>
      </c>
      <c r="K1301" s="7"/>
      <c r="L1301" s="7"/>
      <c r="M1301" s="7"/>
      <c r="N1301" s="7"/>
      <c r="O1301" s="7"/>
      <c r="P1301" s="7"/>
      <c r="Q1301" s="7"/>
      <c r="R1301" s="7"/>
      <c r="S1301" s="9">
        <f t="shared" si="230"/>
        <v>5120</v>
      </c>
      <c r="T1301" s="10">
        <f t="shared" si="231"/>
        <v>0</v>
      </c>
      <c r="U1301" s="10"/>
    </row>
    <row r="1302" spans="1:21">
      <c r="A1302" s="6"/>
      <c r="B1302" s="11" t="s">
        <v>53</v>
      </c>
      <c r="C1302" s="7" t="s">
        <v>54</v>
      </c>
      <c r="D1302" s="7"/>
      <c r="E1302" s="7"/>
      <c r="F1302" s="7">
        <f t="shared" si="233"/>
        <v>0</v>
      </c>
      <c r="G1302" s="8"/>
      <c r="H1302" s="7">
        <f t="shared" si="222"/>
        <v>0</v>
      </c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9">
        <f t="shared" si="230"/>
        <v>0</v>
      </c>
      <c r="T1302" s="10">
        <f t="shared" si="231"/>
        <v>0</v>
      </c>
      <c r="U1302" s="10"/>
    </row>
    <row r="1303" spans="1:21">
      <c r="A1303" s="6"/>
      <c r="B1303" s="11" t="s">
        <v>55</v>
      </c>
      <c r="C1303" s="7" t="s">
        <v>54</v>
      </c>
      <c r="D1303" s="7"/>
      <c r="E1303" s="7"/>
      <c r="F1303" s="7">
        <f t="shared" si="233"/>
        <v>15</v>
      </c>
      <c r="G1303" s="8"/>
      <c r="H1303" s="7">
        <f t="shared" si="222"/>
        <v>0</v>
      </c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9">
        <f t="shared" si="230"/>
        <v>15</v>
      </c>
      <c r="T1303" s="10">
        <f t="shared" si="231"/>
        <v>0</v>
      </c>
      <c r="U1303" s="10"/>
    </row>
    <row r="1304" spans="1:21">
      <c r="A1304" s="6"/>
      <c r="B1304" s="11" t="s">
        <v>56</v>
      </c>
      <c r="C1304" s="7" t="s">
        <v>54</v>
      </c>
      <c r="D1304" s="7"/>
      <c r="E1304" s="7"/>
      <c r="F1304" s="7">
        <f t="shared" si="233"/>
        <v>2233</v>
      </c>
      <c r="G1304" s="8"/>
      <c r="H1304" s="7">
        <f t="shared" si="222"/>
        <v>0</v>
      </c>
      <c r="I1304" s="7"/>
      <c r="J1304" s="7">
        <v>200</v>
      </c>
      <c r="K1304" s="7"/>
      <c r="L1304" s="7"/>
      <c r="M1304" s="7"/>
      <c r="N1304" s="7"/>
      <c r="O1304" s="7"/>
      <c r="P1304" s="7">
        <v>20</v>
      </c>
      <c r="Q1304" s="7"/>
      <c r="R1304" s="7"/>
      <c r="S1304" s="9">
        <f t="shared" si="230"/>
        <v>2013</v>
      </c>
      <c r="T1304" s="10">
        <f t="shared" si="231"/>
        <v>0</v>
      </c>
      <c r="U1304" s="10"/>
    </row>
    <row r="1305" spans="1:21">
      <c r="A1305" s="6"/>
      <c r="B1305" s="11" t="s">
        <v>57</v>
      </c>
      <c r="C1305" s="7" t="s">
        <v>54</v>
      </c>
      <c r="D1305" s="7"/>
      <c r="E1305" s="7"/>
      <c r="F1305" s="7">
        <f t="shared" si="233"/>
        <v>153</v>
      </c>
      <c r="G1305" s="8">
        <v>240</v>
      </c>
      <c r="H1305" s="7">
        <f t="shared" si="222"/>
        <v>0</v>
      </c>
      <c r="I1305" s="7"/>
      <c r="J1305" s="7">
        <v>180</v>
      </c>
      <c r="K1305" s="7"/>
      <c r="L1305" s="7"/>
      <c r="M1305" s="7">
        <v>8</v>
      </c>
      <c r="N1305" s="7"/>
      <c r="O1305" s="7"/>
      <c r="P1305" s="7"/>
      <c r="Q1305" s="7"/>
      <c r="R1305" s="7"/>
      <c r="S1305" s="9">
        <f t="shared" si="230"/>
        <v>221</v>
      </c>
      <c r="T1305" s="10">
        <f t="shared" si="231"/>
        <v>0</v>
      </c>
      <c r="U1305" s="10"/>
    </row>
    <row r="1306" spans="1:21">
      <c r="A1306" s="6"/>
      <c r="B1306" s="11" t="s">
        <v>58</v>
      </c>
      <c r="C1306" s="7" t="s">
        <v>54</v>
      </c>
      <c r="D1306" s="7"/>
      <c r="E1306" s="7"/>
      <c r="F1306" s="7">
        <f t="shared" si="233"/>
        <v>0</v>
      </c>
      <c r="G1306" s="8"/>
      <c r="H1306" s="7">
        <f t="shared" si="222"/>
        <v>0</v>
      </c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9">
        <f t="shared" si="230"/>
        <v>0</v>
      </c>
      <c r="T1306" s="10">
        <f t="shared" si="231"/>
        <v>0</v>
      </c>
      <c r="U1306" s="10"/>
    </row>
    <row r="1307" spans="1:21">
      <c r="A1307" s="6"/>
      <c r="B1307" s="11" t="s">
        <v>59</v>
      </c>
      <c r="C1307" s="7" t="s">
        <v>54</v>
      </c>
      <c r="D1307" s="7"/>
      <c r="E1307" s="7"/>
      <c r="F1307" s="7">
        <f t="shared" si="233"/>
        <v>19</v>
      </c>
      <c r="G1307" s="8"/>
      <c r="H1307" s="7">
        <f t="shared" si="222"/>
        <v>0</v>
      </c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9">
        <f t="shared" si="230"/>
        <v>19</v>
      </c>
      <c r="T1307" s="10">
        <f t="shared" si="231"/>
        <v>0</v>
      </c>
      <c r="U1307" s="10"/>
    </row>
    <row r="1308" spans="1:21">
      <c r="A1308" s="6"/>
      <c r="B1308" s="11" t="s">
        <v>60</v>
      </c>
      <c r="C1308" s="7" t="s">
        <v>61</v>
      </c>
      <c r="D1308" s="7"/>
      <c r="E1308" s="7"/>
      <c r="F1308" s="7">
        <f t="shared" si="233"/>
        <v>0</v>
      </c>
      <c r="G1308" s="8"/>
      <c r="H1308" s="7">
        <f t="shared" ref="H1308:H1371" si="234">T1223</f>
        <v>0</v>
      </c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9">
        <f t="shared" si="230"/>
        <v>0</v>
      </c>
      <c r="T1308" s="10">
        <f t="shared" si="231"/>
        <v>0</v>
      </c>
      <c r="U1308" s="10"/>
    </row>
    <row r="1309" spans="1:21">
      <c r="A1309" s="6"/>
      <c r="B1309" s="11" t="s">
        <v>62</v>
      </c>
      <c r="C1309" s="7" t="s">
        <v>61</v>
      </c>
      <c r="D1309" s="7"/>
      <c r="E1309" s="7"/>
      <c r="F1309" s="7">
        <f t="shared" si="233"/>
        <v>11</v>
      </c>
      <c r="G1309" s="8"/>
      <c r="H1309" s="7">
        <f t="shared" si="234"/>
        <v>0</v>
      </c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9">
        <f t="shared" si="230"/>
        <v>11</v>
      </c>
      <c r="T1309" s="10">
        <f t="shared" si="231"/>
        <v>0</v>
      </c>
      <c r="U1309" s="10"/>
    </row>
    <row r="1310" spans="1:21">
      <c r="A1310" s="6"/>
      <c r="B1310" s="10" t="s">
        <v>63</v>
      </c>
      <c r="C1310" s="10" t="s">
        <v>41</v>
      </c>
      <c r="D1310" s="7"/>
      <c r="E1310" s="7"/>
      <c r="F1310" s="7">
        <f t="shared" si="233"/>
        <v>0</v>
      </c>
      <c r="G1310" s="8"/>
      <c r="H1310" s="7">
        <f t="shared" si="234"/>
        <v>0</v>
      </c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9">
        <f t="shared" si="230"/>
        <v>0</v>
      </c>
      <c r="T1310" s="10">
        <f t="shared" si="231"/>
        <v>0</v>
      </c>
      <c r="U1310" s="10"/>
    </row>
    <row r="1311" spans="1:21">
      <c r="A1311" s="6"/>
      <c r="B1311" s="10" t="s">
        <v>64</v>
      </c>
      <c r="C1311" s="10" t="s">
        <v>41</v>
      </c>
      <c r="D1311" s="7"/>
      <c r="E1311" s="7"/>
      <c r="F1311" s="7">
        <f t="shared" si="233"/>
        <v>5</v>
      </c>
      <c r="G1311" s="8"/>
      <c r="H1311" s="7">
        <f t="shared" si="234"/>
        <v>0</v>
      </c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9">
        <f t="shared" si="230"/>
        <v>5</v>
      </c>
      <c r="T1311" s="10">
        <f t="shared" si="231"/>
        <v>0</v>
      </c>
      <c r="U1311" s="10"/>
    </row>
    <row r="1312" spans="1:21">
      <c r="A1312" s="6"/>
      <c r="B1312" s="11" t="s">
        <v>65</v>
      </c>
      <c r="C1312" s="7" t="s">
        <v>26</v>
      </c>
      <c r="D1312" s="7"/>
      <c r="E1312" s="7"/>
      <c r="F1312" s="7">
        <f t="shared" si="233"/>
        <v>0</v>
      </c>
      <c r="G1312" s="8"/>
      <c r="H1312" s="7">
        <f t="shared" si="234"/>
        <v>0</v>
      </c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9">
        <f t="shared" si="230"/>
        <v>0</v>
      </c>
      <c r="T1312" s="10">
        <f t="shared" si="231"/>
        <v>0</v>
      </c>
      <c r="U1312" s="10"/>
    </row>
    <row r="1313" spans="1:21">
      <c r="A1313" s="6"/>
      <c r="B1313" s="11" t="s">
        <v>66</v>
      </c>
      <c r="C1313" s="7" t="s">
        <v>26</v>
      </c>
      <c r="D1313" s="7"/>
      <c r="E1313" s="7"/>
      <c r="F1313" s="7">
        <f t="shared" si="233"/>
        <v>71</v>
      </c>
      <c r="G1313" s="8"/>
      <c r="H1313" s="7">
        <f t="shared" si="234"/>
        <v>0</v>
      </c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9">
        <f t="shared" si="230"/>
        <v>71</v>
      </c>
      <c r="T1313" s="10">
        <f t="shared" si="231"/>
        <v>0</v>
      </c>
      <c r="U1313" s="10"/>
    </row>
    <row r="1314" spans="1:21">
      <c r="A1314" s="6"/>
      <c r="B1314" s="11" t="s">
        <v>67</v>
      </c>
      <c r="C1314" s="7" t="s">
        <v>26</v>
      </c>
      <c r="D1314" s="7"/>
      <c r="E1314" s="7"/>
      <c r="F1314" s="7">
        <f t="shared" si="233"/>
        <v>0</v>
      </c>
      <c r="G1314" s="8"/>
      <c r="H1314" s="7">
        <f t="shared" si="234"/>
        <v>0</v>
      </c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9">
        <f t="shared" si="230"/>
        <v>0</v>
      </c>
      <c r="T1314" s="10">
        <f t="shared" si="231"/>
        <v>0</v>
      </c>
      <c r="U1314" s="10"/>
    </row>
    <row r="1315" spans="1:21">
      <c r="A1315" s="6"/>
      <c r="B1315" s="11" t="s">
        <v>68</v>
      </c>
      <c r="C1315" s="7" t="s">
        <v>26</v>
      </c>
      <c r="D1315" s="7"/>
      <c r="E1315" s="7"/>
      <c r="F1315" s="7">
        <f t="shared" si="233"/>
        <v>7</v>
      </c>
      <c r="G1315" s="8"/>
      <c r="H1315" s="7">
        <f t="shared" si="234"/>
        <v>0</v>
      </c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9">
        <f t="shared" si="230"/>
        <v>7</v>
      </c>
      <c r="T1315" s="10">
        <f t="shared" si="231"/>
        <v>0</v>
      </c>
      <c r="U1315" s="10"/>
    </row>
    <row r="1316" spans="1:21">
      <c r="A1316" s="6"/>
      <c r="B1316" s="11" t="s">
        <v>69</v>
      </c>
      <c r="C1316" s="7" t="s">
        <v>41</v>
      </c>
      <c r="D1316" s="7"/>
      <c r="E1316" s="7"/>
      <c r="F1316" s="7">
        <f t="shared" ref="F1316:F1330" si="235">S1231</f>
        <v>0</v>
      </c>
      <c r="G1316" s="8"/>
      <c r="H1316" s="7">
        <f t="shared" si="234"/>
        <v>0</v>
      </c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9">
        <f t="shared" si="230"/>
        <v>0</v>
      </c>
      <c r="T1316" s="10">
        <f t="shared" si="231"/>
        <v>0</v>
      </c>
      <c r="U1316" s="10"/>
    </row>
    <row r="1317" spans="1:21">
      <c r="A1317" s="6"/>
      <c r="B1317" s="11" t="s">
        <v>70</v>
      </c>
      <c r="C1317" s="7" t="s">
        <v>41</v>
      </c>
      <c r="D1317" s="7"/>
      <c r="E1317" s="7"/>
      <c r="F1317" s="7">
        <f t="shared" si="235"/>
        <v>13</v>
      </c>
      <c r="G1317" s="8"/>
      <c r="H1317" s="7">
        <f t="shared" si="234"/>
        <v>0</v>
      </c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9">
        <f t="shared" si="230"/>
        <v>13</v>
      </c>
      <c r="T1317" s="10">
        <f t="shared" si="231"/>
        <v>0</v>
      </c>
      <c r="U1317" s="10"/>
    </row>
    <row r="1318" spans="1:21">
      <c r="A1318" s="6"/>
      <c r="B1318" s="11" t="s">
        <v>71</v>
      </c>
      <c r="C1318" s="7" t="s">
        <v>61</v>
      </c>
      <c r="D1318" s="7"/>
      <c r="E1318" s="7"/>
      <c r="F1318" s="7">
        <f t="shared" si="235"/>
        <v>0</v>
      </c>
      <c r="G1318" s="8"/>
      <c r="H1318" s="7">
        <f t="shared" si="234"/>
        <v>0</v>
      </c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9">
        <f t="shared" si="230"/>
        <v>0</v>
      </c>
      <c r="T1318" s="10">
        <f t="shared" si="231"/>
        <v>0</v>
      </c>
      <c r="U1318" s="10"/>
    </row>
    <row r="1319" spans="1:21">
      <c r="A1319" s="6"/>
      <c r="B1319" s="11" t="s">
        <v>72</v>
      </c>
      <c r="C1319" s="7" t="s">
        <v>61</v>
      </c>
      <c r="D1319" s="7"/>
      <c r="E1319" s="7"/>
      <c r="F1319" s="7">
        <f t="shared" si="235"/>
        <v>8</v>
      </c>
      <c r="G1319" s="8"/>
      <c r="H1319" s="7">
        <f t="shared" si="234"/>
        <v>0</v>
      </c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9">
        <f t="shared" si="230"/>
        <v>8</v>
      </c>
      <c r="T1319" s="10">
        <f t="shared" si="231"/>
        <v>0</v>
      </c>
      <c r="U1319" s="10"/>
    </row>
    <row r="1320" spans="1:21">
      <c r="A1320" s="6"/>
      <c r="B1320" s="11" t="s">
        <v>73</v>
      </c>
      <c r="C1320" s="7" t="s">
        <v>26</v>
      </c>
      <c r="D1320" s="7"/>
      <c r="E1320" s="7"/>
      <c r="F1320" s="7">
        <f t="shared" si="235"/>
        <v>0</v>
      </c>
      <c r="G1320" s="8"/>
      <c r="H1320" s="7">
        <f t="shared" si="234"/>
        <v>0</v>
      </c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9">
        <f t="shared" si="230"/>
        <v>0</v>
      </c>
      <c r="T1320" s="10">
        <f t="shared" si="231"/>
        <v>0</v>
      </c>
      <c r="U1320" s="10"/>
    </row>
    <row r="1321" spans="1:21">
      <c r="A1321" s="6"/>
      <c r="B1321" s="11" t="s">
        <v>74</v>
      </c>
      <c r="C1321" s="7" t="s">
        <v>26</v>
      </c>
      <c r="D1321" s="7"/>
      <c r="E1321" s="7"/>
      <c r="F1321" s="7">
        <f t="shared" si="235"/>
        <v>22</v>
      </c>
      <c r="G1321" s="8"/>
      <c r="H1321" s="7">
        <f t="shared" si="234"/>
        <v>0</v>
      </c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9">
        <f t="shared" si="230"/>
        <v>22</v>
      </c>
      <c r="T1321" s="10">
        <f t="shared" si="231"/>
        <v>0</v>
      </c>
      <c r="U1321" s="10"/>
    </row>
    <row r="1322" spans="1:21">
      <c r="A1322" s="6"/>
      <c r="B1322" s="11" t="s">
        <v>75</v>
      </c>
      <c r="C1322" s="7" t="s">
        <v>26</v>
      </c>
      <c r="D1322" s="7"/>
      <c r="E1322" s="7"/>
      <c r="F1322" s="7">
        <f t="shared" si="235"/>
        <v>0</v>
      </c>
      <c r="G1322" s="8"/>
      <c r="H1322" s="7">
        <f t="shared" si="234"/>
        <v>0</v>
      </c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9">
        <f t="shared" si="230"/>
        <v>0</v>
      </c>
      <c r="T1322" s="10">
        <f t="shared" si="231"/>
        <v>0</v>
      </c>
      <c r="U1322" s="10"/>
    </row>
    <row r="1323" spans="1:21">
      <c r="A1323" s="6"/>
      <c r="B1323" s="11" t="s">
        <v>76</v>
      </c>
      <c r="C1323" s="7" t="s">
        <v>26</v>
      </c>
      <c r="D1323" s="7"/>
      <c r="E1323" s="7"/>
      <c r="F1323" s="7">
        <f t="shared" si="235"/>
        <v>20</v>
      </c>
      <c r="G1323" s="8"/>
      <c r="H1323" s="7">
        <f t="shared" si="234"/>
        <v>0</v>
      </c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9">
        <f t="shared" si="230"/>
        <v>20</v>
      </c>
      <c r="T1323" s="10">
        <f t="shared" si="231"/>
        <v>0</v>
      </c>
      <c r="U1323" s="10"/>
    </row>
    <row r="1324" spans="1:21">
      <c r="A1324" s="6"/>
      <c r="B1324" s="11" t="s">
        <v>77</v>
      </c>
      <c r="C1324" s="7" t="s">
        <v>61</v>
      </c>
      <c r="D1324" s="7"/>
      <c r="E1324" s="7"/>
      <c r="F1324" s="7">
        <f t="shared" si="235"/>
        <v>0</v>
      </c>
      <c r="G1324" s="8"/>
      <c r="H1324" s="7">
        <f t="shared" si="234"/>
        <v>0</v>
      </c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9">
        <f t="shared" si="230"/>
        <v>0</v>
      </c>
      <c r="T1324" s="10">
        <f t="shared" si="231"/>
        <v>0</v>
      </c>
      <c r="U1324" s="10"/>
    </row>
    <row r="1325" spans="1:21">
      <c r="A1325" s="6"/>
      <c r="B1325" s="11" t="s">
        <v>78</v>
      </c>
      <c r="C1325" s="7" t="s">
        <v>61</v>
      </c>
      <c r="D1325" s="7"/>
      <c r="E1325" s="7"/>
      <c r="F1325" s="7">
        <f t="shared" si="235"/>
        <v>69</v>
      </c>
      <c r="G1325" s="8"/>
      <c r="H1325" s="7">
        <f t="shared" si="234"/>
        <v>0</v>
      </c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9">
        <f t="shared" si="230"/>
        <v>69</v>
      </c>
      <c r="T1325" s="10">
        <f t="shared" si="231"/>
        <v>0</v>
      </c>
      <c r="U1325" s="10"/>
    </row>
    <row r="1326" spans="1:21">
      <c r="A1326" s="6"/>
      <c r="B1326" s="11" t="s">
        <v>79</v>
      </c>
      <c r="C1326" s="7" t="s">
        <v>26</v>
      </c>
      <c r="D1326" s="7"/>
      <c r="E1326" s="7"/>
      <c r="F1326" s="7">
        <f t="shared" si="235"/>
        <v>290</v>
      </c>
      <c r="G1326" s="8"/>
      <c r="H1326" s="7">
        <f t="shared" si="234"/>
        <v>0</v>
      </c>
      <c r="I1326" s="7"/>
      <c r="J1326" s="7">
        <v>120</v>
      </c>
      <c r="K1326" s="7"/>
      <c r="L1326" s="7"/>
      <c r="M1326" s="7"/>
      <c r="N1326" s="7"/>
      <c r="O1326" s="7"/>
      <c r="P1326" s="7"/>
      <c r="Q1326" s="7"/>
      <c r="R1326" s="7"/>
      <c r="S1326" s="9">
        <f t="shared" si="230"/>
        <v>170</v>
      </c>
      <c r="T1326" s="10">
        <f t="shared" si="231"/>
        <v>0</v>
      </c>
      <c r="U1326" s="10"/>
    </row>
    <row r="1327" spans="1:21">
      <c r="A1327" s="6"/>
      <c r="B1327" s="11" t="s">
        <v>119</v>
      </c>
      <c r="C1327" s="7" t="s">
        <v>26</v>
      </c>
      <c r="D1327" s="7"/>
      <c r="E1327" s="7"/>
      <c r="F1327" s="7">
        <f t="shared" si="235"/>
        <v>755</v>
      </c>
      <c r="G1327" s="8"/>
      <c r="H1327" s="7">
        <f t="shared" si="234"/>
        <v>0</v>
      </c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9">
        <f t="shared" si="230"/>
        <v>755</v>
      </c>
      <c r="T1327" s="10">
        <f t="shared" si="231"/>
        <v>0</v>
      </c>
      <c r="U1327" s="10"/>
    </row>
    <row r="1328" ht="14" customHeight="1" spans="1:21">
      <c r="A1328" s="6"/>
      <c r="B1328" s="11" t="s">
        <v>81</v>
      </c>
      <c r="C1328" s="7" t="s">
        <v>26</v>
      </c>
      <c r="D1328" s="7"/>
      <c r="E1328" s="7"/>
      <c r="F1328" s="7">
        <f t="shared" ref="F1328:F1341" si="236">S1243</f>
        <v>0</v>
      </c>
      <c r="G1328" s="8"/>
      <c r="H1328" s="7">
        <f t="shared" si="234"/>
        <v>0</v>
      </c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9">
        <f t="shared" si="230"/>
        <v>0</v>
      </c>
      <c r="T1328" s="10">
        <f t="shared" si="231"/>
        <v>0</v>
      </c>
      <c r="U1328" s="10"/>
    </row>
    <row r="1329" spans="1:21">
      <c r="A1329" s="6"/>
      <c r="B1329" s="11" t="s">
        <v>82</v>
      </c>
      <c r="C1329" s="7" t="s">
        <v>26</v>
      </c>
      <c r="D1329" s="7"/>
      <c r="E1329" s="7"/>
      <c r="F1329" s="7">
        <f t="shared" si="236"/>
        <v>14</v>
      </c>
      <c r="G1329" s="8"/>
      <c r="H1329" s="7">
        <f t="shared" si="234"/>
        <v>0</v>
      </c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9">
        <f t="shared" si="230"/>
        <v>14</v>
      </c>
      <c r="T1329" s="10">
        <f t="shared" si="231"/>
        <v>0</v>
      </c>
      <c r="U1329" s="10"/>
    </row>
    <row r="1330" spans="1:21">
      <c r="A1330" s="6"/>
      <c r="B1330" s="11" t="s">
        <v>83</v>
      </c>
      <c r="C1330" s="7" t="s">
        <v>26</v>
      </c>
      <c r="D1330" s="7"/>
      <c r="E1330" s="7"/>
      <c r="F1330" s="7">
        <f t="shared" si="236"/>
        <v>0</v>
      </c>
      <c r="G1330" s="8"/>
      <c r="H1330" s="7">
        <f t="shared" si="234"/>
        <v>0</v>
      </c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9">
        <f t="shared" si="230"/>
        <v>0</v>
      </c>
      <c r="T1330" s="10">
        <f t="shared" si="231"/>
        <v>0</v>
      </c>
      <c r="U1330" s="10"/>
    </row>
    <row r="1331" spans="1:21">
      <c r="A1331" s="6"/>
      <c r="B1331" s="11" t="s">
        <v>84</v>
      </c>
      <c r="C1331" s="7" t="s">
        <v>26</v>
      </c>
      <c r="D1331" s="7"/>
      <c r="E1331" s="7"/>
      <c r="F1331" s="7">
        <f t="shared" si="236"/>
        <v>28</v>
      </c>
      <c r="G1331" s="8"/>
      <c r="H1331" s="7">
        <f t="shared" si="234"/>
        <v>0</v>
      </c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9">
        <f t="shared" si="230"/>
        <v>28</v>
      </c>
      <c r="T1331" s="10">
        <f t="shared" si="231"/>
        <v>0</v>
      </c>
      <c r="U1331" s="10"/>
    </row>
    <row r="1332" spans="1:21">
      <c r="A1332" s="6"/>
      <c r="B1332" s="11" t="s">
        <v>85</v>
      </c>
      <c r="C1332" s="7" t="s">
        <v>61</v>
      </c>
      <c r="D1332" s="7"/>
      <c r="E1332" s="7"/>
      <c r="F1332" s="7">
        <f t="shared" si="236"/>
        <v>0</v>
      </c>
      <c r="G1332" s="8"/>
      <c r="H1332" s="7">
        <f t="shared" si="234"/>
        <v>0</v>
      </c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9">
        <f t="shared" si="230"/>
        <v>0</v>
      </c>
      <c r="T1332" s="10">
        <f t="shared" si="231"/>
        <v>0</v>
      </c>
      <c r="U1332" s="10"/>
    </row>
    <row r="1333" spans="1:21">
      <c r="A1333" s="6"/>
      <c r="B1333" s="11" t="s">
        <v>86</v>
      </c>
      <c r="C1333" s="7" t="s">
        <v>61</v>
      </c>
      <c r="D1333" s="7"/>
      <c r="E1333" s="7"/>
      <c r="F1333" s="7">
        <f t="shared" si="236"/>
        <v>10</v>
      </c>
      <c r="G1333" s="8"/>
      <c r="H1333" s="7">
        <f t="shared" si="234"/>
        <v>0</v>
      </c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9">
        <f t="shared" si="230"/>
        <v>10</v>
      </c>
      <c r="T1333" s="10">
        <f t="shared" si="231"/>
        <v>0</v>
      </c>
      <c r="U1333" s="10"/>
    </row>
    <row r="1334" spans="1:21">
      <c r="A1334" s="6"/>
      <c r="B1334" s="11" t="s">
        <v>87</v>
      </c>
      <c r="C1334" s="7" t="s">
        <v>26</v>
      </c>
      <c r="D1334" s="7"/>
      <c r="E1334" s="7"/>
      <c r="F1334" s="7">
        <f t="shared" si="236"/>
        <v>0</v>
      </c>
      <c r="G1334" s="8"/>
      <c r="H1334" s="7">
        <f t="shared" si="234"/>
        <v>0</v>
      </c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9">
        <f t="shared" si="230"/>
        <v>0</v>
      </c>
      <c r="T1334" s="10">
        <f t="shared" si="231"/>
        <v>0</v>
      </c>
      <c r="U1334" s="10"/>
    </row>
    <row r="1335" spans="1:21">
      <c r="A1335" s="6"/>
      <c r="B1335" s="11" t="s">
        <v>88</v>
      </c>
      <c r="C1335" s="10"/>
      <c r="D1335" s="7"/>
      <c r="E1335" s="7"/>
      <c r="F1335" s="7">
        <f t="shared" si="236"/>
        <v>37</v>
      </c>
      <c r="G1335" s="8"/>
      <c r="H1335" s="7">
        <f t="shared" si="234"/>
        <v>0</v>
      </c>
      <c r="I1335" s="7"/>
      <c r="J1335" s="7">
        <v>37</v>
      </c>
      <c r="K1335" s="7"/>
      <c r="L1335" s="7"/>
      <c r="M1335" s="7"/>
      <c r="N1335" s="7"/>
      <c r="O1335" s="7"/>
      <c r="P1335" s="7"/>
      <c r="Q1335" s="7"/>
      <c r="R1335" s="7"/>
      <c r="S1335" s="9">
        <f t="shared" si="230"/>
        <v>0</v>
      </c>
      <c r="T1335" s="10">
        <f t="shared" si="231"/>
        <v>0</v>
      </c>
      <c r="U1335" s="10"/>
    </row>
    <row r="1336" spans="1:21">
      <c r="A1336" s="6"/>
      <c r="B1336" s="11" t="s">
        <v>89</v>
      </c>
      <c r="C1336" s="7" t="s">
        <v>26</v>
      </c>
      <c r="D1336" s="7"/>
      <c r="E1336" s="7"/>
      <c r="F1336" s="7">
        <f t="shared" si="236"/>
        <v>858</v>
      </c>
      <c r="G1336" s="8"/>
      <c r="H1336" s="7">
        <f t="shared" si="234"/>
        <v>0</v>
      </c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9">
        <f t="shared" si="230"/>
        <v>858</v>
      </c>
      <c r="T1336" s="10">
        <f t="shared" si="231"/>
        <v>0</v>
      </c>
      <c r="U1336" s="10"/>
    </row>
    <row r="1337" spans="1:21">
      <c r="A1337" s="6"/>
      <c r="B1337" s="11" t="s">
        <v>90</v>
      </c>
      <c r="C1337" s="7" t="s">
        <v>26</v>
      </c>
      <c r="D1337" s="7"/>
      <c r="E1337" s="7"/>
      <c r="F1337" s="7">
        <f t="shared" ref="F1337:F1351" si="237">S1252</f>
        <v>0</v>
      </c>
      <c r="G1337" s="8"/>
      <c r="H1337" s="7">
        <f t="shared" si="234"/>
        <v>0</v>
      </c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9">
        <f t="shared" si="230"/>
        <v>0</v>
      </c>
      <c r="T1337" s="10">
        <f t="shared" si="231"/>
        <v>0</v>
      </c>
      <c r="U1337" s="10"/>
    </row>
    <row r="1338" spans="1:21">
      <c r="A1338" s="6"/>
      <c r="B1338" s="11" t="s">
        <v>91</v>
      </c>
      <c r="C1338" s="7" t="s">
        <v>26</v>
      </c>
      <c r="D1338" s="7"/>
      <c r="E1338" s="7"/>
      <c r="F1338" s="7">
        <f t="shared" si="237"/>
        <v>138</v>
      </c>
      <c r="G1338" s="8"/>
      <c r="H1338" s="7">
        <f t="shared" si="234"/>
        <v>0</v>
      </c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9">
        <f t="shared" si="230"/>
        <v>138</v>
      </c>
      <c r="T1338" s="10">
        <f t="shared" si="231"/>
        <v>0</v>
      </c>
      <c r="U1338" s="10"/>
    </row>
    <row r="1339" spans="1:21">
      <c r="A1339" s="6"/>
      <c r="B1339" s="12" t="s">
        <v>92</v>
      </c>
      <c r="C1339" s="13" t="s">
        <v>26</v>
      </c>
      <c r="D1339" s="7"/>
      <c r="E1339" s="7"/>
      <c r="F1339" s="7">
        <f t="shared" si="237"/>
        <v>1551</v>
      </c>
      <c r="G1339" s="8"/>
      <c r="H1339" s="7">
        <f t="shared" si="234"/>
        <v>0</v>
      </c>
      <c r="I1339" s="7"/>
      <c r="J1339" s="7">
        <v>180</v>
      </c>
      <c r="K1339" s="7"/>
      <c r="L1339" s="7"/>
      <c r="M1339" s="7">
        <v>1</v>
      </c>
      <c r="N1339" s="7"/>
      <c r="O1339" s="7"/>
      <c r="P1339" s="7"/>
      <c r="Q1339" s="7"/>
      <c r="R1339" s="7"/>
      <c r="S1339" s="9">
        <f t="shared" si="230"/>
        <v>1372</v>
      </c>
      <c r="T1339" s="10">
        <f t="shared" si="231"/>
        <v>0</v>
      </c>
      <c r="U1339" s="10"/>
    </row>
    <row r="1340" spans="1:21">
      <c r="A1340" s="6"/>
      <c r="B1340" s="12" t="s">
        <v>93</v>
      </c>
      <c r="C1340" s="13" t="s">
        <v>26</v>
      </c>
      <c r="D1340" s="7"/>
      <c r="E1340" s="7"/>
      <c r="F1340" s="7">
        <f t="shared" si="237"/>
        <v>2863</v>
      </c>
      <c r="G1340" s="8"/>
      <c r="H1340" s="7">
        <f t="shared" si="234"/>
        <v>0</v>
      </c>
      <c r="I1340" s="7"/>
      <c r="J1340" s="7"/>
      <c r="K1340" s="7"/>
      <c r="L1340" s="7"/>
      <c r="M1340" s="7">
        <v>23</v>
      </c>
      <c r="N1340" s="7"/>
      <c r="O1340" s="7"/>
      <c r="P1340" s="7"/>
      <c r="Q1340" s="7"/>
      <c r="R1340" s="7"/>
      <c r="S1340" s="9">
        <f t="shared" si="230"/>
        <v>2886</v>
      </c>
      <c r="T1340" s="10">
        <f t="shared" si="231"/>
        <v>0</v>
      </c>
      <c r="U1340" s="10"/>
    </row>
    <row r="1341" spans="1:21">
      <c r="A1341" s="6"/>
      <c r="B1341" s="11" t="s">
        <v>94</v>
      </c>
      <c r="C1341" s="7" t="s">
        <v>41</v>
      </c>
      <c r="D1341" s="7"/>
      <c r="E1341" s="7"/>
      <c r="F1341" s="7">
        <f t="shared" si="237"/>
        <v>0</v>
      </c>
      <c r="G1341" s="8"/>
      <c r="H1341" s="7">
        <f t="shared" si="234"/>
        <v>0</v>
      </c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9">
        <f t="shared" si="230"/>
        <v>0</v>
      </c>
      <c r="T1341" s="10">
        <f t="shared" si="231"/>
        <v>0</v>
      </c>
      <c r="U1341" s="10"/>
    </row>
    <row r="1342" spans="1:21">
      <c r="A1342" s="6"/>
      <c r="B1342" s="11" t="s">
        <v>95</v>
      </c>
      <c r="C1342" s="7" t="s">
        <v>41</v>
      </c>
      <c r="D1342" s="7"/>
      <c r="E1342" s="7"/>
      <c r="F1342" s="7">
        <f t="shared" si="237"/>
        <v>39</v>
      </c>
      <c r="G1342" s="8"/>
      <c r="H1342" s="7">
        <f t="shared" si="234"/>
        <v>0</v>
      </c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9">
        <f t="shared" si="230"/>
        <v>39</v>
      </c>
      <c r="T1342" s="10">
        <f t="shared" si="231"/>
        <v>0</v>
      </c>
      <c r="U1342" s="10"/>
    </row>
    <row r="1343" spans="1:21">
      <c r="A1343" s="6"/>
      <c r="B1343" s="11" t="s">
        <v>96</v>
      </c>
      <c r="C1343" s="7" t="s">
        <v>41</v>
      </c>
      <c r="D1343" s="7"/>
      <c r="E1343" s="7"/>
      <c r="F1343" s="7">
        <f t="shared" si="237"/>
        <v>0</v>
      </c>
      <c r="G1343" s="8"/>
      <c r="H1343" s="7">
        <f t="shared" si="234"/>
        <v>0</v>
      </c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9">
        <f t="shared" si="230"/>
        <v>0</v>
      </c>
      <c r="T1343" s="10">
        <f t="shared" si="231"/>
        <v>0</v>
      </c>
      <c r="U1343" s="10"/>
    </row>
    <row r="1344" spans="1:21">
      <c r="A1344" s="6"/>
      <c r="B1344" s="11" t="s">
        <v>97</v>
      </c>
      <c r="C1344" s="7" t="s">
        <v>41</v>
      </c>
      <c r="D1344" s="7"/>
      <c r="E1344" s="7"/>
      <c r="F1344" s="7">
        <f t="shared" si="237"/>
        <v>0</v>
      </c>
      <c r="G1344" s="8"/>
      <c r="H1344" s="7">
        <f t="shared" si="234"/>
        <v>0</v>
      </c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9">
        <f t="shared" si="230"/>
        <v>0</v>
      </c>
      <c r="T1344" s="10">
        <f t="shared" si="231"/>
        <v>0</v>
      </c>
      <c r="U1344" s="10"/>
    </row>
    <row r="1345" spans="1:21">
      <c r="A1345" s="6"/>
      <c r="B1345" s="11" t="s">
        <v>98</v>
      </c>
      <c r="C1345" s="7" t="s">
        <v>26</v>
      </c>
      <c r="D1345" s="7"/>
      <c r="E1345" s="7"/>
      <c r="F1345" s="7">
        <f t="shared" ref="F1345:F1361" si="238">S1260</f>
        <v>933</v>
      </c>
      <c r="G1345" s="8"/>
      <c r="H1345" s="7">
        <f t="shared" si="234"/>
        <v>0</v>
      </c>
      <c r="I1345" s="7"/>
      <c r="J1345" s="7">
        <v>120</v>
      </c>
      <c r="K1345" s="7"/>
      <c r="L1345" s="7"/>
      <c r="M1345" s="7">
        <v>1</v>
      </c>
      <c r="N1345" s="7"/>
      <c r="O1345" s="7"/>
      <c r="P1345" s="7"/>
      <c r="Q1345" s="7"/>
      <c r="R1345" s="7"/>
      <c r="S1345" s="9">
        <f t="shared" si="230"/>
        <v>814</v>
      </c>
      <c r="T1345" s="10">
        <f t="shared" si="231"/>
        <v>0</v>
      </c>
      <c r="U1345" s="10"/>
    </row>
    <row r="1346" spans="1:21">
      <c r="A1346" s="6"/>
      <c r="B1346" s="11" t="s">
        <v>99</v>
      </c>
      <c r="C1346" s="7" t="s">
        <v>26</v>
      </c>
      <c r="D1346" s="7"/>
      <c r="E1346" s="7"/>
      <c r="F1346" s="7">
        <f t="shared" si="238"/>
        <v>1259</v>
      </c>
      <c r="G1346" s="8"/>
      <c r="H1346" s="7">
        <f t="shared" si="234"/>
        <v>0</v>
      </c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9">
        <f t="shared" si="230"/>
        <v>1259</v>
      </c>
      <c r="T1346" s="10">
        <f t="shared" si="231"/>
        <v>0</v>
      </c>
      <c r="U1346" s="10"/>
    </row>
    <row r="1347" spans="1:21">
      <c r="A1347" s="6"/>
      <c r="B1347" s="11" t="s">
        <v>100</v>
      </c>
      <c r="C1347" s="7" t="s">
        <v>26</v>
      </c>
      <c r="D1347" s="7"/>
      <c r="E1347" s="7"/>
      <c r="F1347" s="7">
        <f t="shared" si="238"/>
        <v>567</v>
      </c>
      <c r="G1347" s="8"/>
      <c r="H1347" s="7">
        <f t="shared" si="234"/>
        <v>0</v>
      </c>
      <c r="I1347" s="7"/>
      <c r="J1347" s="7">
        <v>20</v>
      </c>
      <c r="K1347" s="7"/>
      <c r="L1347" s="7"/>
      <c r="M1347" s="7"/>
      <c r="N1347" s="7"/>
      <c r="O1347" s="7"/>
      <c r="P1347" s="7"/>
      <c r="Q1347" s="7"/>
      <c r="R1347" s="7"/>
      <c r="S1347" s="9">
        <f t="shared" si="230"/>
        <v>547</v>
      </c>
      <c r="T1347" s="10">
        <f t="shared" si="231"/>
        <v>0</v>
      </c>
      <c r="U1347" s="10"/>
    </row>
    <row r="1348" spans="1:21">
      <c r="A1348" s="6"/>
      <c r="B1348" s="11" t="s">
        <v>101</v>
      </c>
      <c r="C1348" s="7" t="s">
        <v>26</v>
      </c>
      <c r="D1348" s="7"/>
      <c r="E1348" s="7"/>
      <c r="F1348" s="7">
        <f t="shared" si="238"/>
        <v>368</v>
      </c>
      <c r="G1348" s="8"/>
      <c r="H1348" s="7">
        <f t="shared" si="234"/>
        <v>0</v>
      </c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9">
        <f t="shared" si="230"/>
        <v>368</v>
      </c>
      <c r="T1348" s="10">
        <f t="shared" si="231"/>
        <v>0</v>
      </c>
      <c r="U1348" s="10"/>
    </row>
    <row r="1349" spans="1:21">
      <c r="A1349" s="6"/>
      <c r="B1349" s="11" t="s">
        <v>102</v>
      </c>
      <c r="C1349" s="7" t="s">
        <v>26</v>
      </c>
      <c r="D1349" s="7"/>
      <c r="E1349" s="7"/>
      <c r="F1349" s="7">
        <f t="shared" si="238"/>
        <v>722</v>
      </c>
      <c r="G1349" s="8"/>
      <c r="H1349" s="7">
        <f t="shared" si="234"/>
        <v>0</v>
      </c>
      <c r="I1349" s="7"/>
      <c r="J1349" s="7">
        <v>58</v>
      </c>
      <c r="K1349" s="7"/>
      <c r="L1349" s="7"/>
      <c r="M1349" s="7"/>
      <c r="N1349" s="7"/>
      <c r="O1349" s="7"/>
      <c r="P1349" s="7"/>
      <c r="Q1349" s="7"/>
      <c r="R1349" s="7"/>
      <c r="S1349" s="9">
        <f t="shared" si="230"/>
        <v>664</v>
      </c>
      <c r="T1349" s="10">
        <f t="shared" si="231"/>
        <v>0</v>
      </c>
      <c r="U1349" s="10"/>
    </row>
    <row r="1350" spans="1:21">
      <c r="A1350" s="6"/>
      <c r="B1350" s="11" t="s">
        <v>103</v>
      </c>
      <c r="C1350" s="7" t="s">
        <v>26</v>
      </c>
      <c r="D1350" s="7"/>
      <c r="E1350" s="7"/>
      <c r="F1350" s="7">
        <f t="shared" si="238"/>
        <v>303</v>
      </c>
      <c r="G1350" s="8"/>
      <c r="H1350" s="7">
        <f t="shared" si="234"/>
        <v>0</v>
      </c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9">
        <f t="shared" si="230"/>
        <v>303</v>
      </c>
      <c r="T1350" s="10">
        <f t="shared" si="231"/>
        <v>0</v>
      </c>
      <c r="U1350" s="10"/>
    </row>
    <row r="1351" spans="1:21">
      <c r="A1351" s="6"/>
      <c r="B1351" s="11" t="s">
        <v>112</v>
      </c>
      <c r="C1351" s="7" t="s">
        <v>113</v>
      </c>
      <c r="D1351" s="7"/>
      <c r="E1351" s="7"/>
      <c r="F1351" s="7">
        <f t="shared" si="238"/>
        <v>1383</v>
      </c>
      <c r="G1351" s="8"/>
      <c r="H1351" s="7">
        <f t="shared" si="234"/>
        <v>0</v>
      </c>
      <c r="I1351" s="7"/>
      <c r="J1351" s="7">
        <v>30</v>
      </c>
      <c r="K1351" s="7"/>
      <c r="L1351" s="7"/>
      <c r="M1351" s="7"/>
      <c r="N1351" s="7"/>
      <c r="O1351" s="7"/>
      <c r="P1351" s="7"/>
      <c r="Q1351" s="7"/>
      <c r="R1351" s="7"/>
      <c r="S1351" s="9">
        <f t="shared" ref="S1351:S1371" si="239">F1351+G1351-J1351-K1351-L1351+M1351+O1351-P1351-R1351</f>
        <v>1353</v>
      </c>
      <c r="T1351" s="10">
        <f t="shared" ref="T1351:T1371" si="240">H1351+I1351+N1351+R1351-Q1351</f>
        <v>0</v>
      </c>
      <c r="U1351" s="10"/>
    </row>
    <row r="1352" spans="1:21">
      <c r="A1352" s="6"/>
      <c r="B1352" s="11"/>
      <c r="C1352" s="7"/>
      <c r="D1352" s="7"/>
      <c r="E1352" s="7"/>
      <c r="F1352" s="7">
        <f t="shared" si="238"/>
        <v>0</v>
      </c>
      <c r="G1352" s="8"/>
      <c r="H1352" s="7">
        <f t="shared" si="234"/>
        <v>0</v>
      </c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9">
        <f t="shared" si="239"/>
        <v>0</v>
      </c>
      <c r="T1352" s="10">
        <f t="shared" si="240"/>
        <v>0</v>
      </c>
      <c r="U1352" s="10"/>
    </row>
    <row r="1353" spans="1:21">
      <c r="A1353" s="6"/>
      <c r="B1353" s="11"/>
      <c r="C1353" s="7"/>
      <c r="D1353" s="7"/>
      <c r="E1353" s="7"/>
      <c r="F1353" s="7">
        <f t="shared" si="238"/>
        <v>0</v>
      </c>
      <c r="G1353" s="8"/>
      <c r="H1353" s="7">
        <f t="shared" si="234"/>
        <v>0</v>
      </c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9">
        <f t="shared" si="239"/>
        <v>0</v>
      </c>
      <c r="T1353" s="10">
        <f t="shared" si="240"/>
        <v>0</v>
      </c>
      <c r="U1353" s="10"/>
    </row>
    <row r="1354" spans="1:21">
      <c r="A1354" s="6"/>
      <c r="B1354" s="11"/>
      <c r="C1354" s="7"/>
      <c r="D1354" s="7"/>
      <c r="E1354" s="7"/>
      <c r="F1354" s="7">
        <f t="shared" si="238"/>
        <v>0</v>
      </c>
      <c r="G1354" s="8"/>
      <c r="H1354" s="7">
        <f t="shared" si="234"/>
        <v>0</v>
      </c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9">
        <f t="shared" si="239"/>
        <v>0</v>
      </c>
      <c r="T1354" s="10">
        <f t="shared" si="240"/>
        <v>0</v>
      </c>
      <c r="U1354" s="10"/>
    </row>
    <row r="1355" spans="1:21">
      <c r="A1355" s="6"/>
      <c r="B1355" s="11"/>
      <c r="C1355" s="7"/>
      <c r="D1355" s="7"/>
      <c r="E1355" s="7"/>
      <c r="F1355" s="7">
        <f t="shared" si="238"/>
        <v>0</v>
      </c>
      <c r="G1355" s="8"/>
      <c r="H1355" s="7">
        <f t="shared" si="234"/>
        <v>0</v>
      </c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9">
        <f t="shared" si="239"/>
        <v>0</v>
      </c>
      <c r="T1355" s="10">
        <f t="shared" si="240"/>
        <v>0</v>
      </c>
      <c r="U1355" s="10"/>
    </row>
    <row r="1356" spans="1:21">
      <c r="A1356" s="6"/>
      <c r="B1356" s="11"/>
      <c r="C1356" s="7"/>
      <c r="D1356" s="7"/>
      <c r="E1356" s="7"/>
      <c r="F1356" s="7">
        <f t="shared" si="238"/>
        <v>0</v>
      </c>
      <c r="G1356" s="8"/>
      <c r="H1356" s="7">
        <f t="shared" si="234"/>
        <v>0</v>
      </c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9">
        <f t="shared" si="239"/>
        <v>0</v>
      </c>
      <c r="T1356" s="10">
        <f t="shared" si="240"/>
        <v>0</v>
      </c>
      <c r="U1356" s="10"/>
    </row>
    <row r="1357" spans="1:21">
      <c r="A1357" s="6"/>
      <c r="B1357" s="11"/>
      <c r="C1357" s="7"/>
      <c r="D1357" s="7"/>
      <c r="E1357" s="7"/>
      <c r="F1357" s="7">
        <f t="shared" si="238"/>
        <v>0</v>
      </c>
      <c r="G1357" s="8"/>
      <c r="H1357" s="7">
        <f t="shared" si="234"/>
        <v>0</v>
      </c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9">
        <f t="shared" si="239"/>
        <v>0</v>
      </c>
      <c r="T1357" s="10">
        <f t="shared" si="240"/>
        <v>0</v>
      </c>
      <c r="U1357" s="10"/>
    </row>
    <row r="1358" spans="1:21">
      <c r="A1358" s="6"/>
      <c r="B1358" s="11"/>
      <c r="C1358" s="7"/>
      <c r="D1358" s="7"/>
      <c r="E1358" s="7"/>
      <c r="F1358" s="7">
        <f t="shared" si="238"/>
        <v>0</v>
      </c>
      <c r="G1358" s="8"/>
      <c r="H1358" s="7">
        <f t="shared" si="234"/>
        <v>0</v>
      </c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9">
        <f t="shared" si="239"/>
        <v>0</v>
      </c>
      <c r="T1358" s="10">
        <f t="shared" si="240"/>
        <v>0</v>
      </c>
      <c r="U1358" s="10"/>
    </row>
    <row r="1359" spans="1:21">
      <c r="A1359" s="6"/>
      <c r="B1359" s="11"/>
      <c r="C1359" s="7"/>
      <c r="D1359" s="7"/>
      <c r="E1359" s="7"/>
      <c r="F1359" s="7">
        <f t="shared" si="238"/>
        <v>0</v>
      </c>
      <c r="G1359" s="8"/>
      <c r="H1359" s="7">
        <f t="shared" si="234"/>
        <v>0</v>
      </c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9">
        <f t="shared" si="239"/>
        <v>0</v>
      </c>
      <c r="T1359" s="10">
        <f t="shared" si="240"/>
        <v>0</v>
      </c>
      <c r="U1359" s="10"/>
    </row>
    <row r="1360" spans="1:21">
      <c r="A1360" s="6"/>
      <c r="B1360" s="11"/>
      <c r="C1360" s="7"/>
      <c r="D1360" s="7"/>
      <c r="E1360" s="7"/>
      <c r="F1360" s="7">
        <f t="shared" si="238"/>
        <v>0</v>
      </c>
      <c r="G1360" s="8"/>
      <c r="H1360" s="7">
        <f t="shared" si="234"/>
        <v>0</v>
      </c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9">
        <f t="shared" si="239"/>
        <v>0</v>
      </c>
      <c r="T1360" s="10">
        <f t="shared" si="240"/>
        <v>0</v>
      </c>
      <c r="U1360" s="10"/>
    </row>
    <row r="1361" spans="1:25">
      <c r="A1361" s="6"/>
      <c r="B1361" s="11"/>
      <c r="C1361" s="7"/>
      <c r="D1361" s="7"/>
      <c r="E1361" s="7"/>
      <c r="F1361" s="7">
        <f t="shared" si="238"/>
        <v>0</v>
      </c>
      <c r="G1361" s="8"/>
      <c r="H1361" s="7">
        <f t="shared" si="234"/>
        <v>0</v>
      </c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9">
        <f t="shared" si="239"/>
        <v>0</v>
      </c>
      <c r="T1361" s="10">
        <f t="shared" si="240"/>
        <v>0</v>
      </c>
      <c r="U1361" s="10"/>
      <c r="V1361">
        <f>X1361*0.1</f>
        <v>0</v>
      </c>
      <c r="W1361">
        <f>E1361*S1361*1.5</f>
        <v>0</v>
      </c>
      <c r="X1361">
        <f>J1361+K1361</f>
        <v>0</v>
      </c>
      <c r="Y1361">
        <f>X1361*0.13</f>
        <v>0</v>
      </c>
    </row>
    <row r="1362" spans="1:25">
      <c r="A1362" s="6">
        <v>46159</v>
      </c>
      <c r="B1362" t="s">
        <v>25</v>
      </c>
      <c r="C1362" s="7" t="s">
        <v>26</v>
      </c>
      <c r="D1362" s="7"/>
      <c r="E1362" s="7"/>
      <c r="F1362" s="7">
        <f t="shared" ref="F1361:F1373" si="241">S1277</f>
        <v>1400</v>
      </c>
      <c r="G1362" s="8"/>
      <c r="H1362" s="7">
        <f t="shared" si="234"/>
        <v>0</v>
      </c>
      <c r="I1362" s="7"/>
      <c r="J1362" s="7">
        <v>120</v>
      </c>
      <c r="K1362" s="7"/>
      <c r="L1362" s="7"/>
      <c r="M1362" s="7"/>
      <c r="N1362" s="7"/>
      <c r="O1362" s="7"/>
      <c r="P1362" s="7"/>
      <c r="Q1362" s="7"/>
      <c r="R1362" s="7"/>
      <c r="S1362" s="9">
        <f t="shared" si="239"/>
        <v>1280</v>
      </c>
      <c r="T1362" s="10">
        <f t="shared" si="240"/>
        <v>0</v>
      </c>
      <c r="U1362" s="10"/>
      <c r="V1362">
        <f t="shared" ref="V1362:V1368" si="242">X1362*0.1</f>
        <v>12</v>
      </c>
      <c r="W1362">
        <f t="shared" ref="W1362:W1368" si="243">E1362*S1362*1.5</f>
        <v>0</v>
      </c>
      <c r="X1362">
        <f t="shared" ref="X1362:X1368" si="244">J1362+K1362</f>
        <v>120</v>
      </c>
      <c r="Y1362">
        <f t="shared" ref="Y1362:Y1368" si="245">X1362*0.13</f>
        <v>15.6</v>
      </c>
    </row>
    <row r="1363" ht="16" customHeight="1" spans="1:25">
      <c r="A1363" s="6"/>
      <c r="B1363" t="s">
        <v>27</v>
      </c>
      <c r="C1363" s="7" t="s">
        <v>26</v>
      </c>
      <c r="D1363" s="7"/>
      <c r="E1363" s="7"/>
      <c r="F1363" s="7">
        <f t="shared" si="241"/>
        <v>609</v>
      </c>
      <c r="G1363" s="8"/>
      <c r="H1363" s="7">
        <f t="shared" si="234"/>
        <v>0</v>
      </c>
      <c r="I1363" s="7"/>
      <c r="J1363" s="7"/>
      <c r="K1363" s="7"/>
      <c r="L1363" s="7"/>
      <c r="M1363" s="7">
        <v>48</v>
      </c>
      <c r="N1363" s="7"/>
      <c r="O1363" s="7"/>
      <c r="P1363" s="7"/>
      <c r="Q1363" s="7"/>
      <c r="R1363" s="7"/>
      <c r="S1363" s="9">
        <f t="shared" si="239"/>
        <v>657</v>
      </c>
      <c r="T1363" s="10">
        <f t="shared" si="240"/>
        <v>0</v>
      </c>
      <c r="U1363" s="10"/>
      <c r="V1363">
        <f t="shared" si="242"/>
        <v>0</v>
      </c>
      <c r="W1363">
        <f t="shared" si="243"/>
        <v>0</v>
      </c>
      <c r="X1363">
        <f t="shared" si="244"/>
        <v>0</v>
      </c>
      <c r="Y1363">
        <f t="shared" si="245"/>
        <v>0</v>
      </c>
    </row>
    <row r="1364" spans="1:25">
      <c r="A1364" s="6"/>
      <c r="B1364" s="6" t="s">
        <v>28</v>
      </c>
      <c r="C1364" s="7" t="s">
        <v>26</v>
      </c>
      <c r="D1364" s="7"/>
      <c r="E1364" s="7"/>
      <c r="F1364" s="7">
        <f t="shared" si="241"/>
        <v>826</v>
      </c>
      <c r="G1364" s="8"/>
      <c r="H1364" s="7">
        <f t="shared" si="234"/>
        <v>0</v>
      </c>
      <c r="I1364" s="7"/>
      <c r="J1364" s="7">
        <v>45</v>
      </c>
      <c r="K1364" s="7">
        <v>20</v>
      </c>
      <c r="L1364" s="7"/>
      <c r="M1364" s="7"/>
      <c r="N1364" s="7"/>
      <c r="O1364" s="7"/>
      <c r="P1364" s="7"/>
      <c r="Q1364" s="7"/>
      <c r="R1364" s="7"/>
      <c r="S1364" s="9">
        <f t="shared" si="239"/>
        <v>761</v>
      </c>
      <c r="T1364" s="10">
        <f t="shared" si="240"/>
        <v>0</v>
      </c>
      <c r="U1364" s="10"/>
      <c r="V1364">
        <f t="shared" si="242"/>
        <v>6.5</v>
      </c>
      <c r="W1364">
        <f t="shared" si="243"/>
        <v>0</v>
      </c>
      <c r="X1364">
        <f t="shared" si="244"/>
        <v>65</v>
      </c>
      <c r="Y1364">
        <f t="shared" si="245"/>
        <v>8.45</v>
      </c>
    </row>
    <row r="1365" spans="1:25">
      <c r="A1365" s="6"/>
      <c r="B1365" s="6" t="s">
        <v>29</v>
      </c>
      <c r="C1365" s="7" t="s">
        <v>26</v>
      </c>
      <c r="D1365" s="7"/>
      <c r="E1365" s="7"/>
      <c r="F1365" s="7">
        <f t="shared" si="241"/>
        <v>270</v>
      </c>
      <c r="G1365" s="8"/>
      <c r="H1365" s="7">
        <f t="shared" si="234"/>
        <v>0</v>
      </c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9">
        <f t="shared" si="239"/>
        <v>270</v>
      </c>
      <c r="T1365" s="10">
        <f t="shared" si="240"/>
        <v>0</v>
      </c>
      <c r="U1365" s="10"/>
      <c r="V1365">
        <f t="shared" si="242"/>
        <v>0</v>
      </c>
      <c r="W1365">
        <f t="shared" si="243"/>
        <v>0</v>
      </c>
      <c r="X1365">
        <f t="shared" si="244"/>
        <v>0</v>
      </c>
      <c r="Y1365">
        <f t="shared" si="245"/>
        <v>0</v>
      </c>
    </row>
    <row r="1366" spans="1:25">
      <c r="A1366" s="6"/>
      <c r="B1366" s="6" t="s">
        <v>30</v>
      </c>
      <c r="C1366" s="7" t="s">
        <v>26</v>
      </c>
      <c r="D1366" s="7"/>
      <c r="E1366" s="7"/>
      <c r="F1366" s="7">
        <f t="shared" si="241"/>
        <v>2699</v>
      </c>
      <c r="G1366" s="8"/>
      <c r="H1366" s="7">
        <f t="shared" si="234"/>
        <v>0</v>
      </c>
      <c r="I1366" s="7"/>
      <c r="J1366" s="7">
        <v>120</v>
      </c>
      <c r="K1366" s="7"/>
      <c r="L1366" s="7"/>
      <c r="M1366" s="7"/>
      <c r="N1366" s="7"/>
      <c r="O1366" s="7"/>
      <c r="P1366" s="7"/>
      <c r="Q1366" s="7"/>
      <c r="R1366" s="7"/>
      <c r="S1366" s="9">
        <f t="shared" si="239"/>
        <v>2579</v>
      </c>
      <c r="T1366" s="10">
        <f t="shared" si="240"/>
        <v>0</v>
      </c>
      <c r="U1366" s="10"/>
      <c r="V1366">
        <f t="shared" si="242"/>
        <v>12</v>
      </c>
      <c r="W1366">
        <f t="shared" si="243"/>
        <v>0</v>
      </c>
      <c r="X1366">
        <f t="shared" si="244"/>
        <v>120</v>
      </c>
      <c r="Y1366">
        <f t="shared" si="245"/>
        <v>15.6</v>
      </c>
    </row>
    <row r="1367" spans="1:25">
      <c r="A1367" s="6"/>
      <c r="B1367" s="6" t="s">
        <v>31</v>
      </c>
      <c r="C1367" s="7" t="s">
        <v>26</v>
      </c>
      <c r="D1367" s="7"/>
      <c r="E1367" s="7"/>
      <c r="F1367" s="7">
        <f t="shared" si="241"/>
        <v>1562</v>
      </c>
      <c r="G1367" s="8"/>
      <c r="H1367" s="7">
        <f t="shared" si="234"/>
        <v>0</v>
      </c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9">
        <f t="shared" si="239"/>
        <v>1562</v>
      </c>
      <c r="T1367" s="10">
        <f t="shared" si="240"/>
        <v>0</v>
      </c>
      <c r="U1367" s="10"/>
      <c r="V1367">
        <f t="shared" si="242"/>
        <v>0</v>
      </c>
      <c r="W1367">
        <f t="shared" si="243"/>
        <v>0</v>
      </c>
      <c r="X1367">
        <f t="shared" si="244"/>
        <v>0</v>
      </c>
      <c r="Y1367">
        <f t="shared" si="245"/>
        <v>0</v>
      </c>
    </row>
    <row r="1368" spans="1:25">
      <c r="A1368" s="6"/>
      <c r="B1368" s="6" t="s">
        <v>32</v>
      </c>
      <c r="C1368" s="7" t="s">
        <v>26</v>
      </c>
      <c r="D1368" s="7"/>
      <c r="E1368" s="7"/>
      <c r="F1368" s="7">
        <f t="shared" si="241"/>
        <v>760</v>
      </c>
      <c r="G1368" s="8"/>
      <c r="H1368" s="7">
        <f t="shared" si="234"/>
        <v>0</v>
      </c>
      <c r="I1368" s="7"/>
      <c r="J1368" s="7">
        <v>240</v>
      </c>
      <c r="K1368" s="7"/>
      <c r="L1368" s="7"/>
      <c r="M1368" s="7"/>
      <c r="N1368" s="7"/>
      <c r="O1368" s="7"/>
      <c r="P1368" s="7"/>
      <c r="Q1368" s="7"/>
      <c r="R1368" s="7"/>
      <c r="S1368" s="9">
        <f t="shared" si="239"/>
        <v>520</v>
      </c>
      <c r="T1368" s="10">
        <f t="shared" si="240"/>
        <v>0</v>
      </c>
      <c r="U1368" s="10"/>
      <c r="V1368">
        <f t="shared" si="242"/>
        <v>24</v>
      </c>
      <c r="W1368">
        <f t="shared" si="243"/>
        <v>0</v>
      </c>
      <c r="X1368">
        <f t="shared" si="244"/>
        <v>240</v>
      </c>
      <c r="Y1368">
        <f t="shared" si="245"/>
        <v>31.2</v>
      </c>
    </row>
    <row r="1369" spans="1:25">
      <c r="A1369" s="6"/>
      <c r="B1369" s="6" t="s">
        <v>33</v>
      </c>
      <c r="C1369" s="7" t="s">
        <v>26</v>
      </c>
      <c r="D1369" s="7"/>
      <c r="E1369" s="7"/>
      <c r="F1369" s="7">
        <f t="shared" si="241"/>
        <v>1591</v>
      </c>
      <c r="G1369" s="8"/>
      <c r="H1369" s="7">
        <f t="shared" si="234"/>
        <v>0</v>
      </c>
      <c r="I1369" s="7"/>
      <c r="J1369" s="7"/>
      <c r="K1369" s="7"/>
      <c r="L1369" s="7"/>
      <c r="M1369" s="7">
        <v>24</v>
      </c>
      <c r="N1369" s="7"/>
      <c r="O1369" s="7"/>
      <c r="P1369" s="7"/>
      <c r="Q1369" s="7"/>
      <c r="R1369" s="7"/>
      <c r="S1369" s="9">
        <f t="shared" si="239"/>
        <v>1615</v>
      </c>
      <c r="T1369" s="10">
        <f t="shared" si="240"/>
        <v>0</v>
      </c>
      <c r="U1369" s="10"/>
    </row>
    <row r="1370" spans="1:25">
      <c r="A1370" s="6"/>
      <c r="B1370" s="11" t="s">
        <v>34</v>
      </c>
      <c r="C1370" s="7" t="s">
        <v>26</v>
      </c>
      <c r="D1370" s="7"/>
      <c r="E1370" s="7"/>
      <c r="F1370" s="7">
        <f t="shared" si="241"/>
        <v>17</v>
      </c>
      <c r="G1370" s="8"/>
      <c r="H1370" s="7">
        <f t="shared" si="234"/>
        <v>0</v>
      </c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9">
        <f t="shared" si="239"/>
        <v>17</v>
      </c>
      <c r="T1370" s="10">
        <f t="shared" si="240"/>
        <v>0</v>
      </c>
      <c r="U1370" s="10"/>
    </row>
    <row r="1371" spans="1:25">
      <c r="A1371" s="6"/>
      <c r="B1371" s="11" t="s">
        <v>35</v>
      </c>
      <c r="C1371" s="7" t="s">
        <v>26</v>
      </c>
      <c r="D1371" s="7"/>
      <c r="E1371" s="7"/>
      <c r="F1371" s="7">
        <f t="shared" si="241"/>
        <v>120</v>
      </c>
      <c r="G1371" s="8"/>
      <c r="H1371" s="7">
        <f t="shared" si="234"/>
        <v>0</v>
      </c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9">
        <f t="shared" si="239"/>
        <v>120</v>
      </c>
      <c r="T1371" s="10">
        <f t="shared" si="240"/>
        <v>0</v>
      </c>
      <c r="U1371" s="10"/>
    </row>
    <row r="1372" spans="1:25">
      <c r="A1372" s="6"/>
      <c r="B1372" s="11" t="s">
        <v>36</v>
      </c>
      <c r="C1372" s="7" t="s">
        <v>26</v>
      </c>
      <c r="D1372" s="7"/>
      <c r="E1372" s="7"/>
      <c r="F1372" s="7">
        <f t="shared" si="241"/>
        <v>7662</v>
      </c>
      <c r="G1372" s="8"/>
      <c r="H1372" s="7">
        <f t="shared" ref="H1372:H1435" si="246">T1287</f>
        <v>0</v>
      </c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9">
        <f t="shared" ref="S1372:S1406" si="247">F1372+G1372-J1372-K1372-L1372+M1372+O1372-P1372-R1372</f>
        <v>7662</v>
      </c>
      <c r="T1372" s="10">
        <f t="shared" ref="T1372:T1406" si="248">H1372+I1372+N1372+R1372-Q1372</f>
        <v>0</v>
      </c>
      <c r="U1372" s="10"/>
    </row>
    <row r="1373" spans="1:25">
      <c r="A1373" s="6"/>
      <c r="B1373" s="11" t="s">
        <v>37</v>
      </c>
      <c r="C1373" s="7" t="s">
        <v>26</v>
      </c>
      <c r="D1373" s="7"/>
      <c r="E1373" s="7"/>
      <c r="F1373" s="7">
        <f t="shared" si="241"/>
        <v>1404</v>
      </c>
      <c r="G1373" s="8"/>
      <c r="H1373" s="7">
        <f t="shared" si="246"/>
        <v>0</v>
      </c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9">
        <f t="shared" si="247"/>
        <v>1404</v>
      </c>
      <c r="T1373" s="10">
        <f t="shared" si="248"/>
        <v>0</v>
      </c>
      <c r="U1373" s="10"/>
    </row>
    <row r="1374" spans="1:25">
      <c r="A1374" s="6"/>
      <c r="B1374" s="11" t="s">
        <v>38</v>
      </c>
      <c r="C1374" s="7" t="s">
        <v>26</v>
      </c>
      <c r="D1374" s="7"/>
      <c r="E1374" s="7"/>
      <c r="F1374" s="7">
        <f t="shared" ref="F1374:F1386" si="249">S1289</f>
        <v>0</v>
      </c>
      <c r="G1374" s="8"/>
      <c r="H1374" s="7">
        <f t="shared" si="246"/>
        <v>0</v>
      </c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9">
        <f t="shared" si="247"/>
        <v>0</v>
      </c>
      <c r="T1374" s="10">
        <f t="shared" si="248"/>
        <v>0</v>
      </c>
      <c r="U1374" s="10"/>
    </row>
    <row r="1375" spans="1:25">
      <c r="A1375" s="6"/>
      <c r="B1375" s="11" t="s">
        <v>39</v>
      </c>
      <c r="C1375" s="7" t="s">
        <v>26</v>
      </c>
      <c r="D1375" s="7"/>
      <c r="E1375" s="7"/>
      <c r="F1375" s="7">
        <f t="shared" si="249"/>
        <v>1760</v>
      </c>
      <c r="G1375" s="8"/>
      <c r="H1375" s="7">
        <f t="shared" si="246"/>
        <v>0</v>
      </c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9">
        <f t="shared" si="247"/>
        <v>1760</v>
      </c>
      <c r="T1375" s="10">
        <f t="shared" si="248"/>
        <v>0</v>
      </c>
      <c r="U1375" s="10"/>
    </row>
    <row r="1376" spans="1:25">
      <c r="A1376" s="6"/>
      <c r="B1376" s="11" t="s">
        <v>40</v>
      </c>
      <c r="C1376" s="7" t="s">
        <v>41</v>
      </c>
      <c r="D1376" s="7"/>
      <c r="E1376" s="7"/>
      <c r="F1376" s="7">
        <f t="shared" si="249"/>
        <v>0</v>
      </c>
      <c r="G1376" s="8"/>
      <c r="H1376" s="7">
        <f t="shared" si="246"/>
        <v>0</v>
      </c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9">
        <f t="shared" si="247"/>
        <v>0</v>
      </c>
      <c r="T1376" s="10">
        <f t="shared" si="248"/>
        <v>0</v>
      </c>
      <c r="U1376" s="10"/>
    </row>
    <row r="1377" spans="1:21">
      <c r="A1377" s="6"/>
      <c r="B1377" s="11" t="s">
        <v>42</v>
      </c>
      <c r="C1377" s="7" t="s">
        <v>41</v>
      </c>
      <c r="D1377" s="7"/>
      <c r="E1377" s="7"/>
      <c r="F1377" s="7">
        <f t="shared" si="249"/>
        <v>53</v>
      </c>
      <c r="G1377" s="8"/>
      <c r="H1377" s="7">
        <f t="shared" si="246"/>
        <v>0</v>
      </c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9">
        <f t="shared" si="247"/>
        <v>53</v>
      </c>
      <c r="T1377" s="10">
        <f t="shared" si="248"/>
        <v>0</v>
      </c>
      <c r="U1377" s="10"/>
    </row>
    <row r="1378" spans="1:21">
      <c r="A1378" s="6"/>
      <c r="B1378" s="11" t="s">
        <v>43</v>
      </c>
      <c r="C1378" s="7" t="s">
        <v>41</v>
      </c>
      <c r="D1378" s="7"/>
      <c r="E1378" s="7"/>
      <c r="F1378" s="7">
        <f t="shared" si="249"/>
        <v>0</v>
      </c>
      <c r="G1378" s="8"/>
      <c r="H1378" s="7">
        <f t="shared" si="246"/>
        <v>0</v>
      </c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9">
        <f t="shared" si="247"/>
        <v>0</v>
      </c>
      <c r="T1378" s="10">
        <f t="shared" si="248"/>
        <v>0</v>
      </c>
      <c r="U1378" s="10"/>
    </row>
    <row r="1379" spans="1:21">
      <c r="A1379" s="6"/>
      <c r="B1379" s="11" t="s">
        <v>44</v>
      </c>
      <c r="C1379" s="7" t="s">
        <v>41</v>
      </c>
      <c r="D1379" s="7"/>
      <c r="E1379" s="7"/>
      <c r="F1379" s="7">
        <f t="shared" si="249"/>
        <v>75</v>
      </c>
      <c r="G1379" s="8"/>
      <c r="H1379" s="7">
        <f t="shared" si="246"/>
        <v>0</v>
      </c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9">
        <f t="shared" si="247"/>
        <v>75</v>
      </c>
      <c r="T1379" s="10">
        <f t="shared" si="248"/>
        <v>0</v>
      </c>
      <c r="U1379" s="10"/>
    </row>
    <row r="1380" spans="1:21">
      <c r="A1380" s="6"/>
      <c r="B1380" s="11" t="s">
        <v>45</v>
      </c>
      <c r="C1380" s="7" t="s">
        <v>41</v>
      </c>
      <c r="D1380" s="7"/>
      <c r="E1380" s="7"/>
      <c r="F1380" s="7">
        <f t="shared" si="249"/>
        <v>0</v>
      </c>
      <c r="G1380" s="8"/>
      <c r="H1380" s="7">
        <f t="shared" si="246"/>
        <v>0</v>
      </c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9">
        <f t="shared" si="247"/>
        <v>0</v>
      </c>
      <c r="T1380" s="10">
        <f t="shared" si="248"/>
        <v>0</v>
      </c>
      <c r="U1380" s="10"/>
    </row>
    <row r="1381" spans="1:21">
      <c r="A1381" s="6"/>
      <c r="B1381" s="11" t="s">
        <v>46</v>
      </c>
      <c r="C1381" s="7" t="s">
        <v>41</v>
      </c>
      <c r="D1381" s="7"/>
      <c r="E1381" s="7"/>
      <c r="F1381" s="7">
        <f t="shared" si="249"/>
        <v>17</v>
      </c>
      <c r="G1381" s="8"/>
      <c r="H1381" s="7">
        <f t="shared" si="246"/>
        <v>0</v>
      </c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9">
        <f t="shared" si="247"/>
        <v>17</v>
      </c>
      <c r="T1381" s="10">
        <f t="shared" si="248"/>
        <v>0</v>
      </c>
      <c r="U1381" s="10"/>
    </row>
    <row r="1382" spans="1:21">
      <c r="A1382" s="6"/>
      <c r="B1382" s="11" t="s">
        <v>47</v>
      </c>
      <c r="C1382" s="7" t="s">
        <v>26</v>
      </c>
      <c r="D1382" s="7"/>
      <c r="E1382" s="7"/>
      <c r="F1382" s="7">
        <f t="shared" si="249"/>
        <v>0</v>
      </c>
      <c r="G1382" s="8"/>
      <c r="H1382" s="7">
        <f t="shared" si="246"/>
        <v>0</v>
      </c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9">
        <f t="shared" si="247"/>
        <v>0</v>
      </c>
      <c r="T1382" s="10">
        <f t="shared" si="248"/>
        <v>0</v>
      </c>
      <c r="U1382" s="10"/>
    </row>
    <row r="1383" spans="1:21">
      <c r="A1383" s="6"/>
      <c r="B1383" s="11" t="s">
        <v>48</v>
      </c>
      <c r="C1383" s="7" t="s">
        <v>26</v>
      </c>
      <c r="D1383" s="7"/>
      <c r="E1383" s="7"/>
      <c r="F1383" s="7">
        <f t="shared" si="249"/>
        <v>23090</v>
      </c>
      <c r="G1383" s="8"/>
      <c r="H1383" s="7">
        <f t="shared" si="246"/>
        <v>0</v>
      </c>
      <c r="I1383" s="7"/>
      <c r="J1383" s="7">
        <v>1950</v>
      </c>
      <c r="K1383" s="7"/>
      <c r="L1383" s="7"/>
      <c r="M1383" s="7">
        <v>2</v>
      </c>
      <c r="N1383" s="7"/>
      <c r="O1383" s="7"/>
      <c r="P1383" s="7"/>
      <c r="Q1383" s="7"/>
      <c r="R1383" s="7"/>
      <c r="S1383" s="9">
        <f t="shared" si="247"/>
        <v>21142</v>
      </c>
      <c r="T1383" s="10">
        <f t="shared" si="248"/>
        <v>0</v>
      </c>
      <c r="U1383" s="10" t="s">
        <v>120</v>
      </c>
    </row>
    <row r="1384" spans="1:21">
      <c r="A1384" s="6"/>
      <c r="B1384" s="11" t="s">
        <v>50</v>
      </c>
      <c r="C1384" s="7" t="s">
        <v>26</v>
      </c>
      <c r="D1384" s="7"/>
      <c r="E1384" s="7"/>
      <c r="F1384" s="7">
        <f t="shared" si="249"/>
        <v>0</v>
      </c>
      <c r="G1384" s="8"/>
      <c r="H1384" s="7">
        <f t="shared" si="246"/>
        <v>0</v>
      </c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9">
        <f t="shared" si="247"/>
        <v>0</v>
      </c>
      <c r="T1384" s="10">
        <f t="shared" si="248"/>
        <v>0</v>
      </c>
      <c r="U1384" s="10"/>
    </row>
    <row r="1385" spans="1:21">
      <c r="A1385" s="6"/>
      <c r="B1385" s="11" t="s">
        <v>51</v>
      </c>
      <c r="C1385" s="7" t="s">
        <v>26</v>
      </c>
      <c r="D1385" s="7"/>
      <c r="E1385" s="7"/>
      <c r="F1385" s="7">
        <f t="shared" si="249"/>
        <v>0</v>
      </c>
      <c r="G1385" s="8"/>
      <c r="H1385" s="7">
        <f t="shared" si="246"/>
        <v>0</v>
      </c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9">
        <f t="shared" si="247"/>
        <v>0</v>
      </c>
      <c r="T1385" s="10">
        <f t="shared" si="248"/>
        <v>0</v>
      </c>
      <c r="U1385" s="10"/>
    </row>
    <row r="1386" spans="1:21">
      <c r="A1386" s="6"/>
      <c r="B1386" s="11" t="s">
        <v>52</v>
      </c>
      <c r="C1386" s="7" t="s">
        <v>26</v>
      </c>
      <c r="D1386" s="7"/>
      <c r="E1386" s="7"/>
      <c r="F1386" s="7">
        <f t="shared" si="249"/>
        <v>5120</v>
      </c>
      <c r="G1386" s="8"/>
      <c r="H1386" s="7">
        <f t="shared" si="246"/>
        <v>0</v>
      </c>
      <c r="I1386" s="7"/>
      <c r="J1386" s="7">
        <v>923</v>
      </c>
      <c r="K1386" s="7"/>
      <c r="L1386" s="7"/>
      <c r="M1386" s="7"/>
      <c r="N1386" s="7"/>
      <c r="O1386" s="7"/>
      <c r="P1386" s="7"/>
      <c r="Q1386" s="7"/>
      <c r="R1386" s="7"/>
      <c r="S1386" s="9">
        <f t="shared" si="247"/>
        <v>4197</v>
      </c>
      <c r="T1386" s="10">
        <f t="shared" si="248"/>
        <v>0</v>
      </c>
      <c r="U1386" s="10"/>
    </row>
    <row r="1387" spans="1:21">
      <c r="A1387" s="6"/>
      <c r="B1387" s="11" t="s">
        <v>53</v>
      </c>
      <c r="C1387" s="7" t="s">
        <v>54</v>
      </c>
      <c r="D1387" s="7"/>
      <c r="E1387" s="7"/>
      <c r="F1387" s="7">
        <f t="shared" ref="F1387:F1405" si="250">S1302</f>
        <v>0</v>
      </c>
      <c r="G1387" s="8"/>
      <c r="H1387" s="7">
        <f t="shared" si="246"/>
        <v>0</v>
      </c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9">
        <f t="shared" si="247"/>
        <v>0</v>
      </c>
      <c r="T1387" s="10">
        <f t="shared" si="248"/>
        <v>0</v>
      </c>
      <c r="U1387" s="10"/>
    </row>
    <row r="1388" spans="1:21">
      <c r="A1388" s="6"/>
      <c r="B1388" s="11" t="s">
        <v>55</v>
      </c>
      <c r="C1388" s="7" t="s">
        <v>54</v>
      </c>
      <c r="D1388" s="7"/>
      <c r="E1388" s="7"/>
      <c r="F1388" s="7">
        <f t="shared" si="250"/>
        <v>15</v>
      </c>
      <c r="G1388" s="8"/>
      <c r="H1388" s="7">
        <f t="shared" si="246"/>
        <v>0</v>
      </c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9">
        <f t="shared" si="247"/>
        <v>15</v>
      </c>
      <c r="T1388" s="10">
        <f t="shared" si="248"/>
        <v>0</v>
      </c>
      <c r="U1388" s="10"/>
    </row>
    <row r="1389" spans="1:21">
      <c r="A1389" s="6"/>
      <c r="B1389" s="11" t="s">
        <v>56</v>
      </c>
      <c r="C1389" s="7" t="s">
        <v>54</v>
      </c>
      <c r="D1389" s="7"/>
      <c r="E1389" s="7"/>
      <c r="F1389" s="7">
        <f t="shared" si="250"/>
        <v>2013</v>
      </c>
      <c r="G1389" s="8"/>
      <c r="H1389" s="7">
        <f t="shared" si="246"/>
        <v>0</v>
      </c>
      <c r="I1389" s="7"/>
      <c r="J1389" s="7">
        <v>90</v>
      </c>
      <c r="K1389" s="7"/>
      <c r="L1389" s="7"/>
      <c r="M1389" s="7"/>
      <c r="N1389" s="7"/>
      <c r="O1389" s="7"/>
      <c r="P1389" s="7"/>
      <c r="Q1389" s="7"/>
      <c r="R1389" s="7"/>
      <c r="S1389" s="9">
        <f t="shared" si="247"/>
        <v>1923</v>
      </c>
      <c r="T1389" s="10">
        <f t="shared" si="248"/>
        <v>0</v>
      </c>
      <c r="U1389" s="10"/>
    </row>
    <row r="1390" spans="1:21">
      <c r="A1390" s="6"/>
      <c r="B1390" s="11" t="s">
        <v>57</v>
      </c>
      <c r="C1390" s="7" t="s">
        <v>54</v>
      </c>
      <c r="D1390" s="7"/>
      <c r="E1390" s="7"/>
      <c r="F1390" s="7">
        <f t="shared" si="250"/>
        <v>221</v>
      </c>
      <c r="G1390" s="8"/>
      <c r="H1390" s="7">
        <f t="shared" si="246"/>
        <v>0</v>
      </c>
      <c r="I1390" s="7"/>
      <c r="J1390" s="7">
        <v>144</v>
      </c>
      <c r="K1390" s="7"/>
      <c r="L1390" s="7"/>
      <c r="M1390" s="7">
        <v>36</v>
      </c>
      <c r="N1390" s="7"/>
      <c r="O1390" s="7"/>
      <c r="P1390" s="7"/>
      <c r="Q1390" s="7"/>
      <c r="R1390" s="7"/>
      <c r="S1390" s="9">
        <f t="shared" si="247"/>
        <v>113</v>
      </c>
      <c r="T1390" s="10">
        <f t="shared" si="248"/>
        <v>0</v>
      </c>
      <c r="U1390" s="10"/>
    </row>
    <row r="1391" spans="1:21">
      <c r="A1391" s="6"/>
      <c r="B1391" s="11" t="s">
        <v>58</v>
      </c>
      <c r="C1391" s="7" t="s">
        <v>54</v>
      </c>
      <c r="D1391" s="7"/>
      <c r="E1391" s="7"/>
      <c r="F1391" s="7">
        <f t="shared" si="250"/>
        <v>0</v>
      </c>
      <c r="G1391" s="8"/>
      <c r="H1391" s="7">
        <f t="shared" si="246"/>
        <v>0</v>
      </c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9">
        <f t="shared" si="247"/>
        <v>0</v>
      </c>
      <c r="T1391" s="10">
        <f t="shared" si="248"/>
        <v>0</v>
      </c>
      <c r="U1391" s="10"/>
    </row>
    <row r="1392" spans="1:21">
      <c r="A1392" s="6"/>
      <c r="B1392" s="11" t="s">
        <v>59</v>
      </c>
      <c r="C1392" s="7" t="s">
        <v>54</v>
      </c>
      <c r="D1392" s="7"/>
      <c r="E1392" s="7"/>
      <c r="F1392" s="7">
        <f t="shared" si="250"/>
        <v>19</v>
      </c>
      <c r="G1392" s="8"/>
      <c r="H1392" s="7">
        <f t="shared" si="246"/>
        <v>0</v>
      </c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9">
        <f t="shared" si="247"/>
        <v>19</v>
      </c>
      <c r="T1392" s="10">
        <f t="shared" si="248"/>
        <v>0</v>
      </c>
      <c r="U1392" s="10"/>
    </row>
    <row r="1393" spans="1:21">
      <c r="A1393" s="6"/>
      <c r="B1393" s="11" t="s">
        <v>60</v>
      </c>
      <c r="C1393" s="7" t="s">
        <v>61</v>
      </c>
      <c r="D1393" s="7"/>
      <c r="E1393" s="7"/>
      <c r="F1393" s="7">
        <f t="shared" si="250"/>
        <v>0</v>
      </c>
      <c r="G1393" s="8"/>
      <c r="H1393" s="7">
        <f t="shared" si="246"/>
        <v>0</v>
      </c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9">
        <f t="shared" si="247"/>
        <v>0</v>
      </c>
      <c r="T1393" s="10">
        <f t="shared" si="248"/>
        <v>0</v>
      </c>
      <c r="U1393" s="10"/>
    </row>
    <row r="1394" spans="1:21">
      <c r="A1394" s="6"/>
      <c r="B1394" s="11" t="s">
        <v>62</v>
      </c>
      <c r="C1394" s="7" t="s">
        <v>61</v>
      </c>
      <c r="D1394" s="7"/>
      <c r="E1394" s="7"/>
      <c r="F1394" s="7">
        <f t="shared" si="250"/>
        <v>11</v>
      </c>
      <c r="G1394" s="8"/>
      <c r="H1394" s="7">
        <f t="shared" si="246"/>
        <v>0</v>
      </c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9">
        <f t="shared" si="247"/>
        <v>11</v>
      </c>
      <c r="T1394" s="10">
        <f t="shared" si="248"/>
        <v>0</v>
      </c>
      <c r="U1394" s="10"/>
    </row>
    <row r="1395" spans="1:21">
      <c r="A1395" s="6"/>
      <c r="B1395" s="10" t="s">
        <v>63</v>
      </c>
      <c r="C1395" s="10" t="s">
        <v>41</v>
      </c>
      <c r="D1395" s="7"/>
      <c r="E1395" s="7"/>
      <c r="F1395" s="7">
        <f t="shared" si="250"/>
        <v>0</v>
      </c>
      <c r="G1395" s="8"/>
      <c r="H1395" s="7">
        <f t="shared" si="246"/>
        <v>0</v>
      </c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9">
        <f t="shared" si="247"/>
        <v>0</v>
      </c>
      <c r="T1395" s="10">
        <f t="shared" si="248"/>
        <v>0</v>
      </c>
      <c r="U1395" s="10"/>
    </row>
    <row r="1396" spans="1:21">
      <c r="A1396" s="6"/>
      <c r="B1396" s="10" t="s">
        <v>64</v>
      </c>
      <c r="C1396" s="10" t="s">
        <v>41</v>
      </c>
      <c r="D1396" s="7"/>
      <c r="E1396" s="7"/>
      <c r="F1396" s="7">
        <f t="shared" si="250"/>
        <v>5</v>
      </c>
      <c r="G1396" s="8"/>
      <c r="H1396" s="7">
        <f t="shared" si="246"/>
        <v>0</v>
      </c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9">
        <f t="shared" si="247"/>
        <v>5</v>
      </c>
      <c r="T1396" s="10">
        <f t="shared" si="248"/>
        <v>0</v>
      </c>
      <c r="U1396" s="10"/>
    </row>
    <row r="1397" spans="1:21">
      <c r="A1397" s="6"/>
      <c r="B1397" s="11" t="s">
        <v>65</v>
      </c>
      <c r="C1397" s="7" t="s">
        <v>26</v>
      </c>
      <c r="D1397" s="7"/>
      <c r="E1397" s="7"/>
      <c r="F1397" s="7">
        <f t="shared" si="250"/>
        <v>0</v>
      </c>
      <c r="G1397" s="8"/>
      <c r="H1397" s="7">
        <f t="shared" si="246"/>
        <v>0</v>
      </c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9">
        <f t="shared" si="247"/>
        <v>0</v>
      </c>
      <c r="T1397" s="10">
        <f t="shared" si="248"/>
        <v>0</v>
      </c>
      <c r="U1397" s="10"/>
    </row>
    <row r="1398" spans="1:21">
      <c r="A1398" s="6"/>
      <c r="B1398" s="11" t="s">
        <v>66</v>
      </c>
      <c r="C1398" s="7" t="s">
        <v>26</v>
      </c>
      <c r="D1398" s="7"/>
      <c r="E1398" s="7"/>
      <c r="F1398" s="7">
        <f t="shared" si="250"/>
        <v>71</v>
      </c>
      <c r="G1398" s="8"/>
      <c r="H1398" s="7">
        <f t="shared" si="246"/>
        <v>0</v>
      </c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9">
        <f t="shared" si="247"/>
        <v>71</v>
      </c>
      <c r="T1398" s="10">
        <f t="shared" si="248"/>
        <v>0</v>
      </c>
      <c r="U1398" s="10"/>
    </row>
    <row r="1399" spans="1:21">
      <c r="A1399" s="6"/>
      <c r="B1399" s="11" t="s">
        <v>67</v>
      </c>
      <c r="C1399" s="7" t="s">
        <v>26</v>
      </c>
      <c r="D1399" s="7"/>
      <c r="E1399" s="7"/>
      <c r="F1399" s="7">
        <f t="shared" si="250"/>
        <v>0</v>
      </c>
      <c r="G1399" s="8"/>
      <c r="H1399" s="7">
        <f t="shared" si="246"/>
        <v>0</v>
      </c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9">
        <f t="shared" si="247"/>
        <v>0</v>
      </c>
      <c r="T1399" s="10">
        <f t="shared" si="248"/>
        <v>0</v>
      </c>
      <c r="U1399" s="10"/>
    </row>
    <row r="1400" spans="1:21">
      <c r="A1400" s="6"/>
      <c r="B1400" s="11" t="s">
        <v>68</v>
      </c>
      <c r="C1400" s="7" t="s">
        <v>26</v>
      </c>
      <c r="D1400" s="7"/>
      <c r="E1400" s="7"/>
      <c r="F1400" s="7">
        <f t="shared" si="250"/>
        <v>7</v>
      </c>
      <c r="G1400" s="8"/>
      <c r="H1400" s="7">
        <f t="shared" si="246"/>
        <v>0</v>
      </c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9">
        <f t="shared" si="247"/>
        <v>7</v>
      </c>
      <c r="T1400" s="10">
        <f t="shared" si="248"/>
        <v>0</v>
      </c>
      <c r="U1400" s="10"/>
    </row>
    <row r="1401" spans="1:21">
      <c r="A1401" s="6"/>
      <c r="B1401" s="11" t="s">
        <v>69</v>
      </c>
      <c r="C1401" s="7" t="s">
        <v>41</v>
      </c>
      <c r="D1401" s="7"/>
      <c r="E1401" s="7"/>
      <c r="F1401" s="7">
        <f t="shared" ref="F1401:F1415" si="251">S1316</f>
        <v>0</v>
      </c>
      <c r="G1401" s="8"/>
      <c r="H1401" s="7">
        <f t="shared" si="246"/>
        <v>0</v>
      </c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9">
        <f t="shared" si="247"/>
        <v>0</v>
      </c>
      <c r="T1401" s="10">
        <f t="shared" si="248"/>
        <v>0</v>
      </c>
      <c r="U1401" s="10"/>
    </row>
    <row r="1402" spans="1:21">
      <c r="A1402" s="6"/>
      <c r="B1402" s="11" t="s">
        <v>70</v>
      </c>
      <c r="C1402" s="7" t="s">
        <v>41</v>
      </c>
      <c r="D1402" s="7"/>
      <c r="E1402" s="7"/>
      <c r="F1402" s="7">
        <f t="shared" si="251"/>
        <v>13</v>
      </c>
      <c r="G1402" s="8"/>
      <c r="H1402" s="7">
        <f t="shared" si="246"/>
        <v>0</v>
      </c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9">
        <f t="shared" si="247"/>
        <v>13</v>
      </c>
      <c r="T1402" s="10">
        <f t="shared" si="248"/>
        <v>0</v>
      </c>
      <c r="U1402" s="10"/>
    </row>
    <row r="1403" spans="1:21">
      <c r="A1403" s="6"/>
      <c r="B1403" s="11" t="s">
        <v>71</v>
      </c>
      <c r="C1403" s="7" t="s">
        <v>61</v>
      </c>
      <c r="D1403" s="7"/>
      <c r="E1403" s="7"/>
      <c r="F1403" s="7">
        <f t="shared" si="251"/>
        <v>0</v>
      </c>
      <c r="G1403" s="8"/>
      <c r="H1403" s="7">
        <f t="shared" si="246"/>
        <v>0</v>
      </c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9">
        <f t="shared" si="247"/>
        <v>0</v>
      </c>
      <c r="T1403" s="10">
        <f t="shared" si="248"/>
        <v>0</v>
      </c>
      <c r="U1403" s="10"/>
    </row>
    <row r="1404" spans="1:21">
      <c r="A1404" s="6"/>
      <c r="B1404" s="11" t="s">
        <v>72</v>
      </c>
      <c r="C1404" s="7" t="s">
        <v>61</v>
      </c>
      <c r="D1404" s="7"/>
      <c r="E1404" s="7"/>
      <c r="F1404" s="7">
        <f t="shared" si="251"/>
        <v>8</v>
      </c>
      <c r="G1404" s="8"/>
      <c r="H1404" s="7">
        <f t="shared" si="246"/>
        <v>0</v>
      </c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9">
        <f t="shared" si="247"/>
        <v>8</v>
      </c>
      <c r="T1404" s="10">
        <f t="shared" si="248"/>
        <v>0</v>
      </c>
      <c r="U1404" s="10"/>
    </row>
    <row r="1405" spans="1:21">
      <c r="A1405" s="6"/>
      <c r="B1405" s="11" t="s">
        <v>73</v>
      </c>
      <c r="C1405" s="7" t="s">
        <v>26</v>
      </c>
      <c r="D1405" s="7"/>
      <c r="E1405" s="7"/>
      <c r="F1405" s="7">
        <f t="shared" si="251"/>
        <v>0</v>
      </c>
      <c r="G1405" s="8"/>
      <c r="H1405" s="7">
        <f t="shared" si="246"/>
        <v>0</v>
      </c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9">
        <f t="shared" si="247"/>
        <v>0</v>
      </c>
      <c r="T1405" s="10">
        <f t="shared" si="248"/>
        <v>0</v>
      </c>
      <c r="U1405" s="10"/>
    </row>
    <row r="1406" spans="1:21">
      <c r="A1406" s="6"/>
      <c r="B1406" s="11" t="s">
        <v>74</v>
      </c>
      <c r="C1406" s="7" t="s">
        <v>26</v>
      </c>
      <c r="D1406" s="7"/>
      <c r="E1406" s="7"/>
      <c r="F1406" s="7">
        <f t="shared" si="251"/>
        <v>22</v>
      </c>
      <c r="G1406" s="8"/>
      <c r="H1406" s="7">
        <f t="shared" si="246"/>
        <v>0</v>
      </c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9">
        <f t="shared" si="247"/>
        <v>22</v>
      </c>
      <c r="T1406" s="10">
        <f t="shared" si="248"/>
        <v>0</v>
      </c>
      <c r="U1406" s="10"/>
    </row>
    <row r="1407" spans="1:21">
      <c r="A1407" s="6"/>
      <c r="B1407" s="11" t="s">
        <v>75</v>
      </c>
      <c r="C1407" s="7" t="s">
        <v>26</v>
      </c>
      <c r="D1407" s="7"/>
      <c r="E1407" s="7"/>
      <c r="F1407" s="7">
        <f t="shared" si="251"/>
        <v>0</v>
      </c>
      <c r="G1407" s="8"/>
      <c r="H1407" s="7">
        <f t="shared" si="246"/>
        <v>0</v>
      </c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9">
        <f t="shared" ref="S1407:S1466" si="252">F1407+G1407-J1407-K1407-L1407+M1407+O1407-P1407-R1407</f>
        <v>0</v>
      </c>
      <c r="T1407" s="10">
        <f t="shared" ref="T1407:T1466" si="253">H1407+I1407+N1407+R1407-Q1407</f>
        <v>0</v>
      </c>
      <c r="U1407" s="10"/>
    </row>
    <row r="1408" spans="1:21">
      <c r="A1408" s="6"/>
      <c r="B1408" s="11" t="s">
        <v>76</v>
      </c>
      <c r="C1408" s="7" t="s">
        <v>26</v>
      </c>
      <c r="D1408" s="7"/>
      <c r="E1408" s="7"/>
      <c r="F1408" s="7">
        <f t="shared" si="251"/>
        <v>20</v>
      </c>
      <c r="G1408" s="8"/>
      <c r="H1408" s="7">
        <f t="shared" si="246"/>
        <v>0</v>
      </c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9">
        <f t="shared" si="252"/>
        <v>20</v>
      </c>
      <c r="T1408" s="10">
        <f t="shared" si="253"/>
        <v>0</v>
      </c>
      <c r="U1408" s="10"/>
    </row>
    <row r="1409" spans="1:21">
      <c r="A1409" s="6"/>
      <c r="B1409" s="11" t="s">
        <v>77</v>
      </c>
      <c r="C1409" s="7" t="s">
        <v>61</v>
      </c>
      <c r="D1409" s="7"/>
      <c r="E1409" s="7"/>
      <c r="F1409" s="7">
        <f t="shared" si="251"/>
        <v>0</v>
      </c>
      <c r="G1409" s="8"/>
      <c r="H1409" s="7">
        <f t="shared" si="246"/>
        <v>0</v>
      </c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9">
        <f t="shared" si="252"/>
        <v>0</v>
      </c>
      <c r="T1409" s="10">
        <f t="shared" si="253"/>
        <v>0</v>
      </c>
      <c r="U1409" s="10"/>
    </row>
    <row r="1410" spans="1:21">
      <c r="A1410" s="6"/>
      <c r="B1410" s="11" t="s">
        <v>78</v>
      </c>
      <c r="C1410" s="7" t="s">
        <v>61</v>
      </c>
      <c r="D1410" s="7"/>
      <c r="E1410" s="7"/>
      <c r="F1410" s="7">
        <f t="shared" si="251"/>
        <v>69</v>
      </c>
      <c r="G1410" s="8"/>
      <c r="H1410" s="7">
        <f t="shared" si="246"/>
        <v>0</v>
      </c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9">
        <f t="shared" si="252"/>
        <v>69</v>
      </c>
      <c r="T1410" s="10">
        <f t="shared" si="253"/>
        <v>0</v>
      </c>
      <c r="U1410" s="10"/>
    </row>
    <row r="1411" spans="1:21">
      <c r="A1411" s="6"/>
      <c r="B1411" s="11" t="s">
        <v>79</v>
      </c>
      <c r="C1411" s="7" t="s">
        <v>26</v>
      </c>
      <c r="D1411" s="7"/>
      <c r="E1411" s="7"/>
      <c r="F1411" s="7">
        <f t="shared" si="251"/>
        <v>170</v>
      </c>
      <c r="G1411" s="8">
        <v>20</v>
      </c>
      <c r="H1411" s="7">
        <f t="shared" si="246"/>
        <v>0</v>
      </c>
      <c r="I1411" s="7"/>
      <c r="J1411" s="7">
        <v>190</v>
      </c>
      <c r="K1411" s="7"/>
      <c r="L1411" s="7"/>
      <c r="M1411" s="7"/>
      <c r="N1411" s="7"/>
      <c r="O1411" s="7"/>
      <c r="P1411" s="7"/>
      <c r="Q1411" s="7"/>
      <c r="R1411" s="7"/>
      <c r="S1411" s="9">
        <f t="shared" si="252"/>
        <v>0</v>
      </c>
      <c r="T1411" s="10">
        <f t="shared" si="253"/>
        <v>0</v>
      </c>
      <c r="U1411" s="10"/>
    </row>
    <row r="1412" spans="1:21">
      <c r="A1412" s="6"/>
      <c r="B1412" s="11" t="s">
        <v>119</v>
      </c>
      <c r="C1412" s="7" t="s">
        <v>26</v>
      </c>
      <c r="D1412" s="7"/>
      <c r="E1412" s="7"/>
      <c r="F1412" s="7">
        <f t="shared" si="251"/>
        <v>755</v>
      </c>
      <c r="G1412" s="8"/>
      <c r="H1412" s="7">
        <f t="shared" si="246"/>
        <v>0</v>
      </c>
      <c r="I1412" s="7"/>
      <c r="J1412" s="7"/>
      <c r="K1412" s="7"/>
      <c r="L1412" s="7"/>
      <c r="M1412" s="7"/>
      <c r="N1412" s="7"/>
      <c r="O1412" s="7"/>
      <c r="P1412" s="7">
        <v>480</v>
      </c>
      <c r="Q1412" s="7"/>
      <c r="R1412" s="7"/>
      <c r="S1412" s="9">
        <f t="shared" si="252"/>
        <v>275</v>
      </c>
      <c r="T1412" s="10">
        <f t="shared" si="253"/>
        <v>0</v>
      </c>
      <c r="U1412" s="10"/>
    </row>
    <row r="1413" spans="1:21">
      <c r="A1413" s="6"/>
      <c r="B1413" s="11" t="s">
        <v>81</v>
      </c>
      <c r="C1413" s="7" t="s">
        <v>26</v>
      </c>
      <c r="D1413" s="7"/>
      <c r="E1413" s="7"/>
      <c r="F1413" s="7">
        <f t="shared" ref="F1413:F1426" si="254">S1328</f>
        <v>0</v>
      </c>
      <c r="G1413" s="8"/>
      <c r="H1413" s="7">
        <f t="shared" si="246"/>
        <v>0</v>
      </c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9">
        <f t="shared" si="252"/>
        <v>0</v>
      </c>
      <c r="T1413" s="10">
        <f t="shared" si="253"/>
        <v>0</v>
      </c>
      <c r="U1413" s="10"/>
    </row>
    <row r="1414" spans="1:21">
      <c r="A1414" s="6"/>
      <c r="B1414" s="11" t="s">
        <v>82</v>
      </c>
      <c r="C1414" s="7" t="s">
        <v>26</v>
      </c>
      <c r="D1414" s="7"/>
      <c r="E1414" s="7"/>
      <c r="F1414" s="7">
        <f t="shared" si="254"/>
        <v>14</v>
      </c>
      <c r="G1414" s="8"/>
      <c r="H1414" s="7">
        <f t="shared" si="246"/>
        <v>0</v>
      </c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9">
        <f t="shared" si="252"/>
        <v>14</v>
      </c>
      <c r="T1414" s="10">
        <f t="shared" si="253"/>
        <v>0</v>
      </c>
      <c r="U1414" s="10"/>
    </row>
    <row r="1415" spans="1:21">
      <c r="A1415" s="6"/>
      <c r="B1415" s="11" t="s">
        <v>83</v>
      </c>
      <c r="C1415" s="7" t="s">
        <v>26</v>
      </c>
      <c r="D1415" s="7"/>
      <c r="E1415" s="7"/>
      <c r="F1415" s="7">
        <f t="shared" si="254"/>
        <v>0</v>
      </c>
      <c r="G1415" s="8"/>
      <c r="H1415" s="7">
        <f t="shared" si="246"/>
        <v>0</v>
      </c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9">
        <f t="shared" si="252"/>
        <v>0</v>
      </c>
      <c r="T1415" s="10">
        <f t="shared" si="253"/>
        <v>0</v>
      </c>
      <c r="U1415" s="10"/>
    </row>
    <row r="1416" spans="1:21">
      <c r="A1416" s="6"/>
      <c r="B1416" s="11" t="s">
        <v>84</v>
      </c>
      <c r="C1416" s="7" t="s">
        <v>26</v>
      </c>
      <c r="D1416" s="7"/>
      <c r="E1416" s="7"/>
      <c r="F1416" s="7">
        <f t="shared" si="254"/>
        <v>28</v>
      </c>
      <c r="G1416" s="8"/>
      <c r="H1416" s="7">
        <f t="shared" si="246"/>
        <v>0</v>
      </c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9">
        <f t="shared" si="252"/>
        <v>28</v>
      </c>
      <c r="T1416" s="10">
        <f t="shared" si="253"/>
        <v>0</v>
      </c>
      <c r="U1416" s="10"/>
    </row>
    <row r="1417" spans="1:21">
      <c r="A1417" s="6"/>
      <c r="B1417" s="11" t="s">
        <v>85</v>
      </c>
      <c r="C1417" s="7" t="s">
        <v>61</v>
      </c>
      <c r="D1417" s="7"/>
      <c r="E1417" s="7"/>
      <c r="F1417" s="7">
        <f t="shared" si="254"/>
        <v>0</v>
      </c>
      <c r="G1417" s="8"/>
      <c r="H1417" s="7">
        <f t="shared" si="246"/>
        <v>0</v>
      </c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9">
        <f t="shared" si="252"/>
        <v>0</v>
      </c>
      <c r="T1417" s="10">
        <f t="shared" si="253"/>
        <v>0</v>
      </c>
      <c r="U1417" s="10"/>
    </row>
    <row r="1418" spans="1:21">
      <c r="A1418" s="6"/>
      <c r="B1418" s="11" t="s">
        <v>86</v>
      </c>
      <c r="C1418" s="7" t="s">
        <v>61</v>
      </c>
      <c r="D1418" s="7"/>
      <c r="E1418" s="7"/>
      <c r="F1418" s="7">
        <f t="shared" si="254"/>
        <v>10</v>
      </c>
      <c r="G1418" s="8"/>
      <c r="H1418" s="7">
        <f t="shared" si="246"/>
        <v>0</v>
      </c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9">
        <f t="shared" si="252"/>
        <v>10</v>
      </c>
      <c r="T1418" s="10">
        <f t="shared" si="253"/>
        <v>0</v>
      </c>
      <c r="U1418" s="10"/>
    </row>
    <row r="1419" spans="1:21">
      <c r="A1419" s="6"/>
      <c r="B1419" s="11" t="s">
        <v>87</v>
      </c>
      <c r="C1419" s="7" t="s">
        <v>26</v>
      </c>
      <c r="D1419" s="7"/>
      <c r="E1419" s="7"/>
      <c r="F1419" s="7">
        <f t="shared" si="254"/>
        <v>0</v>
      </c>
      <c r="G1419" s="8"/>
      <c r="H1419" s="7">
        <f t="shared" si="246"/>
        <v>0</v>
      </c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9">
        <f t="shared" si="252"/>
        <v>0</v>
      </c>
      <c r="T1419" s="10">
        <f t="shared" si="253"/>
        <v>0</v>
      </c>
      <c r="U1419" s="10"/>
    </row>
    <row r="1420" spans="1:21">
      <c r="A1420" s="6"/>
      <c r="B1420" s="11" t="s">
        <v>88</v>
      </c>
      <c r="C1420" s="10"/>
      <c r="D1420" s="7"/>
      <c r="E1420" s="7"/>
      <c r="F1420" s="7">
        <f t="shared" si="254"/>
        <v>0</v>
      </c>
      <c r="G1420" s="8"/>
      <c r="H1420" s="7">
        <f t="shared" si="246"/>
        <v>0</v>
      </c>
      <c r="I1420" s="7"/>
      <c r="J1420" s="7"/>
      <c r="K1420" s="7"/>
      <c r="L1420" s="7"/>
      <c r="M1420" s="7"/>
      <c r="N1420" s="7"/>
      <c r="O1420" s="7">
        <v>7</v>
      </c>
      <c r="P1420" s="7"/>
      <c r="Q1420" s="7"/>
      <c r="R1420" s="7"/>
      <c r="S1420" s="9">
        <f t="shared" si="252"/>
        <v>7</v>
      </c>
      <c r="T1420" s="10">
        <f t="shared" si="253"/>
        <v>0</v>
      </c>
      <c r="U1420" s="10"/>
    </row>
    <row r="1421" spans="1:21">
      <c r="A1421" s="6"/>
      <c r="B1421" s="11" t="s">
        <v>89</v>
      </c>
      <c r="C1421" s="7" t="s">
        <v>26</v>
      </c>
      <c r="D1421" s="7"/>
      <c r="E1421" s="7"/>
      <c r="F1421" s="7">
        <f t="shared" si="254"/>
        <v>858</v>
      </c>
      <c r="G1421" s="8"/>
      <c r="H1421" s="7">
        <f t="shared" si="246"/>
        <v>0</v>
      </c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9">
        <f t="shared" si="252"/>
        <v>858</v>
      </c>
      <c r="T1421" s="10">
        <f t="shared" si="253"/>
        <v>0</v>
      </c>
      <c r="U1421" s="10"/>
    </row>
    <row r="1422" spans="1:21">
      <c r="A1422" s="6"/>
      <c r="B1422" s="11" t="s">
        <v>90</v>
      </c>
      <c r="C1422" s="7" t="s">
        <v>26</v>
      </c>
      <c r="D1422" s="7"/>
      <c r="E1422" s="7"/>
      <c r="F1422" s="7">
        <f t="shared" ref="F1422:F1436" si="255">S1337</f>
        <v>0</v>
      </c>
      <c r="G1422" s="8"/>
      <c r="H1422" s="7">
        <f t="shared" si="246"/>
        <v>0</v>
      </c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9">
        <f t="shared" si="252"/>
        <v>0</v>
      </c>
      <c r="T1422" s="10">
        <f t="shared" si="253"/>
        <v>0</v>
      </c>
      <c r="U1422" s="10"/>
    </row>
    <row r="1423" spans="1:21">
      <c r="A1423" s="6"/>
      <c r="B1423" s="11" t="s">
        <v>91</v>
      </c>
      <c r="C1423" s="7" t="s">
        <v>26</v>
      </c>
      <c r="D1423" s="7"/>
      <c r="E1423" s="7"/>
      <c r="F1423" s="7">
        <f t="shared" si="255"/>
        <v>138</v>
      </c>
      <c r="G1423" s="8"/>
      <c r="H1423" s="7">
        <f t="shared" si="246"/>
        <v>0</v>
      </c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9">
        <f t="shared" si="252"/>
        <v>138</v>
      </c>
      <c r="T1423" s="10">
        <f t="shared" si="253"/>
        <v>0</v>
      </c>
      <c r="U1423" s="10"/>
    </row>
    <row r="1424" spans="1:21">
      <c r="A1424" s="6"/>
      <c r="B1424" s="12" t="s">
        <v>92</v>
      </c>
      <c r="C1424" s="13" t="s">
        <v>26</v>
      </c>
      <c r="D1424" s="7"/>
      <c r="E1424" s="7"/>
      <c r="F1424" s="7">
        <f t="shared" si="255"/>
        <v>1372</v>
      </c>
      <c r="G1424" s="8"/>
      <c r="H1424" s="7">
        <f t="shared" si="246"/>
        <v>0</v>
      </c>
      <c r="I1424" s="7"/>
      <c r="J1424" s="7">
        <v>120</v>
      </c>
      <c r="K1424" s="7"/>
      <c r="L1424" s="7"/>
      <c r="M1424" s="7"/>
      <c r="N1424" s="7"/>
      <c r="O1424" s="7"/>
      <c r="P1424" s="7"/>
      <c r="Q1424" s="7"/>
      <c r="R1424" s="7"/>
      <c r="S1424" s="9">
        <f t="shared" si="252"/>
        <v>1252</v>
      </c>
      <c r="T1424" s="10">
        <f t="shared" si="253"/>
        <v>0</v>
      </c>
      <c r="U1424" s="10"/>
    </row>
    <row r="1425" spans="1:21">
      <c r="A1425" s="6"/>
      <c r="B1425" s="12" t="s">
        <v>93</v>
      </c>
      <c r="C1425" s="13" t="s">
        <v>26</v>
      </c>
      <c r="D1425" s="7"/>
      <c r="E1425" s="7"/>
      <c r="F1425" s="7">
        <f t="shared" si="255"/>
        <v>2886</v>
      </c>
      <c r="G1425" s="8"/>
      <c r="H1425" s="7">
        <f t="shared" si="246"/>
        <v>0</v>
      </c>
      <c r="I1425" s="7"/>
      <c r="J1425" s="7"/>
      <c r="K1425" s="7"/>
      <c r="L1425" s="7"/>
      <c r="M1425" s="7">
        <v>24</v>
      </c>
      <c r="N1425" s="7"/>
      <c r="O1425" s="7"/>
      <c r="P1425" s="7"/>
      <c r="Q1425" s="7"/>
      <c r="R1425" s="7"/>
      <c r="S1425" s="9">
        <f t="shared" si="252"/>
        <v>2910</v>
      </c>
      <c r="T1425" s="10">
        <f t="shared" si="253"/>
        <v>0</v>
      </c>
      <c r="U1425" s="10"/>
    </row>
    <row r="1426" spans="1:21">
      <c r="A1426" s="6"/>
      <c r="B1426" s="11" t="s">
        <v>94</v>
      </c>
      <c r="C1426" s="7" t="s">
        <v>41</v>
      </c>
      <c r="D1426" s="7"/>
      <c r="E1426" s="7"/>
      <c r="F1426" s="7">
        <f t="shared" si="255"/>
        <v>0</v>
      </c>
      <c r="G1426" s="8"/>
      <c r="H1426" s="7">
        <f t="shared" si="246"/>
        <v>0</v>
      </c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9">
        <f t="shared" si="252"/>
        <v>0</v>
      </c>
      <c r="T1426" s="10">
        <f t="shared" si="253"/>
        <v>0</v>
      </c>
      <c r="U1426" s="10"/>
    </row>
    <row r="1427" spans="1:21">
      <c r="A1427" s="6"/>
      <c r="B1427" s="11" t="s">
        <v>95</v>
      </c>
      <c r="C1427" s="7" t="s">
        <v>41</v>
      </c>
      <c r="D1427" s="7"/>
      <c r="E1427" s="7"/>
      <c r="F1427" s="7">
        <f t="shared" si="255"/>
        <v>39</v>
      </c>
      <c r="G1427" s="8"/>
      <c r="H1427" s="7">
        <f t="shared" si="246"/>
        <v>0</v>
      </c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9">
        <f t="shared" si="252"/>
        <v>39</v>
      </c>
      <c r="T1427" s="10">
        <f t="shared" si="253"/>
        <v>0</v>
      </c>
      <c r="U1427" s="10"/>
    </row>
    <row r="1428" spans="1:21">
      <c r="A1428" s="6"/>
      <c r="B1428" s="11" t="s">
        <v>96</v>
      </c>
      <c r="C1428" s="7" t="s">
        <v>41</v>
      </c>
      <c r="D1428" s="7"/>
      <c r="E1428" s="7"/>
      <c r="F1428" s="7">
        <f t="shared" si="255"/>
        <v>0</v>
      </c>
      <c r="G1428" s="8"/>
      <c r="H1428" s="7">
        <f t="shared" si="246"/>
        <v>0</v>
      </c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9">
        <f t="shared" si="252"/>
        <v>0</v>
      </c>
      <c r="T1428" s="10">
        <f t="shared" si="253"/>
        <v>0</v>
      </c>
      <c r="U1428" s="10"/>
    </row>
    <row r="1429" spans="1:21">
      <c r="A1429" s="6"/>
      <c r="B1429" s="11" t="s">
        <v>97</v>
      </c>
      <c r="C1429" s="7" t="s">
        <v>41</v>
      </c>
      <c r="D1429" s="7"/>
      <c r="E1429" s="7"/>
      <c r="F1429" s="7">
        <f t="shared" si="255"/>
        <v>0</v>
      </c>
      <c r="G1429" s="8"/>
      <c r="H1429" s="7">
        <f t="shared" si="246"/>
        <v>0</v>
      </c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9">
        <f t="shared" si="252"/>
        <v>0</v>
      </c>
      <c r="T1429" s="10">
        <f t="shared" si="253"/>
        <v>0</v>
      </c>
      <c r="U1429" s="10"/>
    </row>
    <row r="1430" spans="1:21">
      <c r="A1430" s="6"/>
      <c r="B1430" s="11" t="s">
        <v>98</v>
      </c>
      <c r="C1430" s="7" t="s">
        <v>26</v>
      </c>
      <c r="D1430" s="7"/>
      <c r="E1430" s="7"/>
      <c r="F1430" s="7">
        <f t="shared" ref="F1430:F1446" si="256">S1345</f>
        <v>814</v>
      </c>
      <c r="G1430" s="8"/>
      <c r="H1430" s="7">
        <f t="shared" si="246"/>
        <v>0</v>
      </c>
      <c r="I1430" s="7"/>
      <c r="J1430" s="7">
        <v>118</v>
      </c>
      <c r="K1430" s="7"/>
      <c r="L1430" s="7"/>
      <c r="M1430" s="7"/>
      <c r="N1430" s="7"/>
      <c r="O1430" s="7"/>
      <c r="P1430" s="7"/>
      <c r="Q1430" s="7"/>
      <c r="R1430" s="7"/>
      <c r="S1430" s="9">
        <f t="shared" si="252"/>
        <v>696</v>
      </c>
      <c r="T1430" s="10">
        <f t="shared" si="253"/>
        <v>0</v>
      </c>
      <c r="U1430" s="10"/>
    </row>
    <row r="1431" spans="1:21">
      <c r="A1431" s="6"/>
      <c r="B1431" s="11" t="s">
        <v>99</v>
      </c>
      <c r="C1431" s="7" t="s">
        <v>26</v>
      </c>
      <c r="D1431" s="7"/>
      <c r="E1431" s="7"/>
      <c r="F1431" s="7">
        <f t="shared" si="256"/>
        <v>1259</v>
      </c>
      <c r="G1431" s="8"/>
      <c r="H1431" s="7">
        <f t="shared" si="246"/>
        <v>0</v>
      </c>
      <c r="I1431" s="7"/>
      <c r="J1431" s="7"/>
      <c r="K1431" s="7"/>
      <c r="L1431" s="7"/>
      <c r="M1431" s="7">
        <v>24</v>
      </c>
      <c r="N1431" s="7"/>
      <c r="O1431" s="7"/>
      <c r="P1431" s="7"/>
      <c r="Q1431" s="7"/>
      <c r="R1431" s="7"/>
      <c r="S1431" s="9">
        <f t="shared" si="252"/>
        <v>1283</v>
      </c>
      <c r="T1431" s="10">
        <f t="shared" si="253"/>
        <v>0</v>
      </c>
      <c r="U1431" s="10"/>
    </row>
    <row r="1432" spans="1:21">
      <c r="A1432" s="6"/>
      <c r="B1432" s="11" t="s">
        <v>100</v>
      </c>
      <c r="C1432" s="7" t="s">
        <v>26</v>
      </c>
      <c r="D1432" s="7"/>
      <c r="E1432" s="7"/>
      <c r="F1432" s="7">
        <f t="shared" si="256"/>
        <v>547</v>
      </c>
      <c r="G1432" s="8"/>
      <c r="H1432" s="7">
        <f t="shared" si="246"/>
        <v>0</v>
      </c>
      <c r="I1432" s="7"/>
      <c r="J1432" s="7">
        <v>52</v>
      </c>
      <c r="K1432" s="7"/>
      <c r="L1432" s="7"/>
      <c r="M1432" s="7"/>
      <c r="N1432" s="7"/>
      <c r="O1432" s="7"/>
      <c r="P1432" s="7"/>
      <c r="Q1432" s="7"/>
      <c r="R1432" s="7"/>
      <c r="S1432" s="9">
        <f t="shared" si="252"/>
        <v>495</v>
      </c>
      <c r="T1432" s="10">
        <f t="shared" si="253"/>
        <v>0</v>
      </c>
      <c r="U1432" s="10"/>
    </row>
    <row r="1433" spans="1:21">
      <c r="A1433" s="6"/>
      <c r="B1433" s="11" t="s">
        <v>101</v>
      </c>
      <c r="C1433" s="7" t="s">
        <v>26</v>
      </c>
      <c r="D1433" s="7"/>
      <c r="E1433" s="7"/>
      <c r="F1433" s="7">
        <f t="shared" si="256"/>
        <v>368</v>
      </c>
      <c r="G1433" s="8"/>
      <c r="H1433" s="7">
        <f t="shared" si="246"/>
        <v>0</v>
      </c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9">
        <f t="shared" si="252"/>
        <v>368</v>
      </c>
      <c r="T1433" s="10">
        <f t="shared" si="253"/>
        <v>0</v>
      </c>
      <c r="U1433" s="10"/>
    </row>
    <row r="1434" spans="1:21">
      <c r="A1434" s="6"/>
      <c r="B1434" s="11" t="s">
        <v>102</v>
      </c>
      <c r="C1434" s="7" t="s">
        <v>26</v>
      </c>
      <c r="D1434" s="7"/>
      <c r="E1434" s="7"/>
      <c r="F1434" s="7">
        <f t="shared" si="256"/>
        <v>664</v>
      </c>
      <c r="G1434" s="8"/>
      <c r="H1434" s="7">
        <f t="shared" si="246"/>
        <v>0</v>
      </c>
      <c r="I1434" s="7"/>
      <c r="J1434" s="7">
        <v>12</v>
      </c>
      <c r="K1434" s="7"/>
      <c r="L1434" s="7"/>
      <c r="M1434" s="7"/>
      <c r="N1434" s="7"/>
      <c r="O1434" s="7"/>
      <c r="P1434" s="7"/>
      <c r="Q1434" s="7"/>
      <c r="R1434" s="7"/>
      <c r="S1434" s="9">
        <f t="shared" si="252"/>
        <v>652</v>
      </c>
      <c r="T1434" s="10">
        <f t="shared" si="253"/>
        <v>0</v>
      </c>
      <c r="U1434" s="10"/>
    </row>
    <row r="1435" spans="1:21">
      <c r="A1435" s="6"/>
      <c r="B1435" s="11" t="s">
        <v>103</v>
      </c>
      <c r="C1435" s="7" t="s">
        <v>26</v>
      </c>
      <c r="D1435" s="7"/>
      <c r="E1435" s="7"/>
      <c r="F1435" s="7">
        <f t="shared" si="256"/>
        <v>303</v>
      </c>
      <c r="G1435" s="8"/>
      <c r="H1435" s="7">
        <f t="shared" si="246"/>
        <v>0</v>
      </c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9">
        <f t="shared" si="252"/>
        <v>303</v>
      </c>
      <c r="T1435" s="10">
        <f t="shared" si="253"/>
        <v>0</v>
      </c>
      <c r="U1435" s="10"/>
    </row>
    <row r="1436" spans="1:21">
      <c r="A1436" s="6"/>
      <c r="B1436" s="11" t="s">
        <v>112</v>
      </c>
      <c r="C1436" s="7" t="s">
        <v>113</v>
      </c>
      <c r="D1436" s="7"/>
      <c r="E1436" s="7"/>
      <c r="F1436" s="7">
        <f t="shared" si="256"/>
        <v>1353</v>
      </c>
      <c r="G1436" s="8"/>
      <c r="H1436" s="7">
        <f t="shared" ref="H1436:H1456" si="257">T1351</f>
        <v>0</v>
      </c>
      <c r="I1436" s="7"/>
      <c r="J1436" s="7">
        <v>60</v>
      </c>
      <c r="K1436" s="7">
        <v>30</v>
      </c>
      <c r="L1436" s="7"/>
      <c r="M1436" s="7"/>
      <c r="N1436" s="7"/>
      <c r="O1436" s="7"/>
      <c r="P1436" s="7"/>
      <c r="Q1436" s="7"/>
      <c r="R1436" s="7"/>
      <c r="S1436" s="9">
        <f t="shared" si="252"/>
        <v>1263</v>
      </c>
      <c r="T1436" s="10">
        <f t="shared" si="253"/>
        <v>0</v>
      </c>
      <c r="U1436" s="10"/>
    </row>
    <row r="1437" spans="1:21">
      <c r="A1437" s="6"/>
      <c r="B1437" s="11"/>
      <c r="C1437" s="7"/>
      <c r="D1437" s="7"/>
      <c r="E1437" s="7"/>
      <c r="F1437" s="7">
        <f t="shared" si="256"/>
        <v>0</v>
      </c>
      <c r="G1437" s="8"/>
      <c r="H1437" s="7">
        <f t="shared" si="257"/>
        <v>0</v>
      </c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9">
        <f t="shared" si="252"/>
        <v>0</v>
      </c>
      <c r="T1437" s="10">
        <f t="shared" si="253"/>
        <v>0</v>
      </c>
      <c r="U1437" s="10"/>
    </row>
    <row r="1438" spans="1:21">
      <c r="A1438" s="6"/>
      <c r="B1438" s="11"/>
      <c r="C1438" s="7"/>
      <c r="D1438" s="7"/>
      <c r="E1438" s="7"/>
      <c r="F1438" s="7">
        <f t="shared" si="256"/>
        <v>0</v>
      </c>
      <c r="G1438" s="8"/>
      <c r="H1438" s="7">
        <f t="shared" si="257"/>
        <v>0</v>
      </c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9">
        <f t="shared" si="252"/>
        <v>0</v>
      </c>
      <c r="T1438" s="10">
        <f t="shared" si="253"/>
        <v>0</v>
      </c>
      <c r="U1438" s="10"/>
    </row>
    <row r="1439" spans="1:21">
      <c r="A1439" s="6"/>
      <c r="B1439" s="11"/>
      <c r="C1439" s="7"/>
      <c r="D1439" s="7"/>
      <c r="E1439" s="7"/>
      <c r="F1439" s="7">
        <f t="shared" si="256"/>
        <v>0</v>
      </c>
      <c r="G1439" s="8"/>
      <c r="H1439" s="7">
        <f t="shared" si="257"/>
        <v>0</v>
      </c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9">
        <f t="shared" si="252"/>
        <v>0</v>
      </c>
      <c r="T1439" s="10">
        <f t="shared" si="253"/>
        <v>0</v>
      </c>
      <c r="U1439" s="10"/>
    </row>
    <row r="1440" spans="1:21">
      <c r="A1440" s="6"/>
      <c r="B1440" s="11"/>
      <c r="C1440" s="7"/>
      <c r="D1440" s="7"/>
      <c r="E1440" s="7"/>
      <c r="F1440" s="7">
        <f t="shared" si="256"/>
        <v>0</v>
      </c>
      <c r="G1440" s="8"/>
      <c r="H1440" s="7">
        <f t="shared" si="257"/>
        <v>0</v>
      </c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9">
        <f t="shared" si="252"/>
        <v>0</v>
      </c>
      <c r="T1440" s="10">
        <f t="shared" si="253"/>
        <v>0</v>
      </c>
      <c r="U1440" s="10"/>
    </row>
    <row r="1441" spans="1:25">
      <c r="A1441" s="6"/>
      <c r="B1441" s="11"/>
      <c r="C1441" s="7"/>
      <c r="D1441" s="7"/>
      <c r="E1441" s="7"/>
      <c r="F1441" s="7">
        <f t="shared" si="256"/>
        <v>0</v>
      </c>
      <c r="G1441" s="8"/>
      <c r="H1441" s="7">
        <f t="shared" si="257"/>
        <v>0</v>
      </c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9">
        <f t="shared" si="252"/>
        <v>0</v>
      </c>
      <c r="T1441" s="10">
        <f t="shared" si="253"/>
        <v>0</v>
      </c>
      <c r="U1441" s="10"/>
    </row>
    <row r="1442" spans="1:25">
      <c r="A1442" s="6"/>
      <c r="B1442" s="11"/>
      <c r="C1442" s="7"/>
      <c r="D1442" s="7"/>
      <c r="E1442" s="7"/>
      <c r="F1442" s="7">
        <f t="shared" si="256"/>
        <v>0</v>
      </c>
      <c r="G1442" s="8"/>
      <c r="H1442" s="7">
        <f t="shared" si="257"/>
        <v>0</v>
      </c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9">
        <f t="shared" si="252"/>
        <v>0</v>
      </c>
      <c r="T1442" s="10">
        <f t="shared" si="253"/>
        <v>0</v>
      </c>
      <c r="U1442" s="10"/>
    </row>
    <row r="1443" spans="1:25">
      <c r="A1443" s="6"/>
      <c r="B1443" s="11"/>
      <c r="C1443" s="7"/>
      <c r="D1443" s="7"/>
      <c r="E1443" s="7"/>
      <c r="F1443" s="7">
        <f t="shared" si="256"/>
        <v>0</v>
      </c>
      <c r="G1443" s="8"/>
      <c r="H1443" s="7">
        <f t="shared" si="257"/>
        <v>0</v>
      </c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9">
        <f t="shared" si="252"/>
        <v>0</v>
      </c>
      <c r="T1443" s="10">
        <f t="shared" si="253"/>
        <v>0</v>
      </c>
      <c r="U1443" s="10"/>
    </row>
    <row r="1444" spans="1:25">
      <c r="A1444" s="6"/>
      <c r="B1444" s="11"/>
      <c r="C1444" s="7"/>
      <c r="D1444" s="7"/>
      <c r="E1444" s="7"/>
      <c r="F1444" s="7">
        <f t="shared" si="256"/>
        <v>0</v>
      </c>
      <c r="G1444" s="8"/>
      <c r="H1444" s="7">
        <f t="shared" si="257"/>
        <v>0</v>
      </c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9">
        <f t="shared" si="252"/>
        <v>0</v>
      </c>
      <c r="T1444" s="10">
        <f t="shared" si="253"/>
        <v>0</v>
      </c>
      <c r="U1444" s="10"/>
    </row>
    <row r="1445" spans="1:25">
      <c r="A1445" s="6"/>
      <c r="B1445" s="11"/>
      <c r="C1445" s="7"/>
      <c r="D1445" s="7"/>
      <c r="E1445" s="7"/>
      <c r="F1445" s="7">
        <f t="shared" si="256"/>
        <v>0</v>
      </c>
      <c r="G1445" s="8"/>
      <c r="H1445" s="7">
        <f t="shared" si="257"/>
        <v>0</v>
      </c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9">
        <f t="shared" si="252"/>
        <v>0</v>
      </c>
      <c r="T1445" s="10">
        <f t="shared" si="253"/>
        <v>0</v>
      </c>
      <c r="U1445" s="10"/>
    </row>
    <row r="1446" spans="1:25">
      <c r="A1446" s="6"/>
      <c r="B1446" s="11"/>
      <c r="C1446" s="7"/>
      <c r="D1446" s="7"/>
      <c r="E1446" s="7"/>
      <c r="F1446" s="7">
        <f t="shared" si="256"/>
        <v>0</v>
      </c>
      <c r="G1446" s="8"/>
      <c r="H1446" s="7">
        <f t="shared" si="257"/>
        <v>0</v>
      </c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9">
        <f t="shared" si="252"/>
        <v>0</v>
      </c>
      <c r="T1446" s="10">
        <f t="shared" si="253"/>
        <v>0</v>
      </c>
      <c r="U1446" s="10"/>
      <c r="V1446">
        <f>X1446*0.1</f>
        <v>0</v>
      </c>
      <c r="W1446">
        <f>E1446*S1446*1.5</f>
        <v>0</v>
      </c>
      <c r="X1446">
        <f>J1446+K1446</f>
        <v>0</v>
      </c>
      <c r="Y1446">
        <f>X1446*0.13</f>
        <v>0</v>
      </c>
    </row>
    <row r="1447" spans="1:25">
      <c r="A1447" s="6">
        <v>46160</v>
      </c>
      <c r="B1447" t="s">
        <v>25</v>
      </c>
      <c r="C1447" s="7" t="s">
        <v>26</v>
      </c>
      <c r="D1447" s="7"/>
      <c r="E1447" s="7"/>
      <c r="F1447" s="7">
        <f t="shared" ref="F1446:F1458" si="258">S1362</f>
        <v>1280</v>
      </c>
      <c r="G1447" s="8"/>
      <c r="H1447" s="7">
        <f t="shared" si="257"/>
        <v>0</v>
      </c>
      <c r="I1447" s="7"/>
      <c r="J1447" s="7">
        <v>112</v>
      </c>
      <c r="K1447" s="7"/>
      <c r="L1447" s="7"/>
      <c r="M1447" s="7"/>
      <c r="N1447" s="7"/>
      <c r="O1447" s="7"/>
      <c r="P1447" s="7"/>
      <c r="Q1447" s="7"/>
      <c r="R1447" s="7"/>
      <c r="S1447" s="9">
        <f t="shared" si="252"/>
        <v>1168</v>
      </c>
      <c r="T1447" s="10">
        <f t="shared" si="253"/>
        <v>0</v>
      </c>
      <c r="U1447" s="10"/>
      <c r="V1447">
        <f t="shared" ref="V1447:V1453" si="259">X1447*0.1</f>
        <v>11.2</v>
      </c>
      <c r="W1447">
        <f t="shared" ref="W1447:W1453" si="260">E1447*S1447*1.5</f>
        <v>0</v>
      </c>
      <c r="X1447">
        <f t="shared" ref="X1447:X1453" si="261">J1447+K1447</f>
        <v>112</v>
      </c>
      <c r="Y1447">
        <f t="shared" ref="Y1447:Y1453" si="262">X1447*0.13</f>
        <v>14.56</v>
      </c>
    </row>
    <row r="1448" spans="1:25">
      <c r="A1448" s="6"/>
      <c r="B1448" t="s">
        <v>27</v>
      </c>
      <c r="C1448" s="7" t="s">
        <v>26</v>
      </c>
      <c r="D1448" s="7"/>
      <c r="E1448" s="7"/>
      <c r="F1448" s="7">
        <f t="shared" si="258"/>
        <v>657</v>
      </c>
      <c r="G1448" s="8"/>
      <c r="H1448" s="7">
        <f t="shared" si="257"/>
        <v>0</v>
      </c>
      <c r="I1448" s="7"/>
      <c r="J1448" s="7"/>
      <c r="K1448" s="7"/>
      <c r="L1448" s="7"/>
      <c r="M1448" s="7">
        <v>24</v>
      </c>
      <c r="N1448" s="7"/>
      <c r="O1448" s="7"/>
      <c r="P1448" s="7"/>
      <c r="Q1448" s="7"/>
      <c r="R1448" s="7"/>
      <c r="S1448" s="9">
        <f t="shared" si="252"/>
        <v>681</v>
      </c>
      <c r="T1448" s="10">
        <f t="shared" si="253"/>
        <v>0</v>
      </c>
      <c r="U1448" s="10"/>
      <c r="V1448">
        <f t="shared" si="259"/>
        <v>0</v>
      </c>
      <c r="W1448">
        <f t="shared" si="260"/>
        <v>0</v>
      </c>
      <c r="X1448">
        <f t="shared" si="261"/>
        <v>0</v>
      </c>
      <c r="Y1448">
        <f t="shared" si="262"/>
        <v>0</v>
      </c>
    </row>
    <row r="1449" spans="1:25">
      <c r="A1449" s="6"/>
      <c r="B1449" s="6" t="s">
        <v>28</v>
      </c>
      <c r="C1449" s="7" t="s">
        <v>26</v>
      </c>
      <c r="D1449" s="7"/>
      <c r="E1449" s="7"/>
      <c r="F1449" s="7">
        <f t="shared" si="258"/>
        <v>761</v>
      </c>
      <c r="G1449" s="8"/>
      <c r="H1449" s="7">
        <f t="shared" si="257"/>
        <v>0</v>
      </c>
      <c r="I1449" s="7"/>
      <c r="J1449" s="7">
        <v>75</v>
      </c>
      <c r="K1449" s="7"/>
      <c r="L1449" s="7"/>
      <c r="M1449" s="7"/>
      <c r="N1449" s="7"/>
      <c r="O1449" s="7"/>
      <c r="P1449" s="7"/>
      <c r="Q1449" s="7"/>
      <c r="R1449" s="7"/>
      <c r="S1449" s="9">
        <f t="shared" si="252"/>
        <v>686</v>
      </c>
      <c r="T1449" s="10">
        <f t="shared" si="253"/>
        <v>0</v>
      </c>
      <c r="U1449" s="10"/>
      <c r="V1449">
        <f t="shared" si="259"/>
        <v>7.5</v>
      </c>
      <c r="W1449">
        <f t="shared" si="260"/>
        <v>0</v>
      </c>
      <c r="X1449">
        <f t="shared" si="261"/>
        <v>75</v>
      </c>
      <c r="Y1449">
        <f t="shared" si="262"/>
        <v>9.75</v>
      </c>
    </row>
    <row r="1450" spans="1:25">
      <c r="A1450" s="6"/>
      <c r="B1450" s="6" t="s">
        <v>29</v>
      </c>
      <c r="C1450" s="7" t="s">
        <v>26</v>
      </c>
      <c r="D1450" s="7"/>
      <c r="E1450" s="7"/>
      <c r="F1450" s="7">
        <f t="shared" si="258"/>
        <v>270</v>
      </c>
      <c r="G1450" s="8"/>
      <c r="H1450" s="7">
        <f t="shared" si="257"/>
        <v>0</v>
      </c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9">
        <f t="shared" si="252"/>
        <v>270</v>
      </c>
      <c r="T1450" s="10">
        <f t="shared" si="253"/>
        <v>0</v>
      </c>
      <c r="U1450" s="10"/>
      <c r="V1450">
        <f t="shared" si="259"/>
        <v>0</v>
      </c>
      <c r="W1450">
        <f t="shared" si="260"/>
        <v>0</v>
      </c>
      <c r="X1450">
        <f t="shared" si="261"/>
        <v>0</v>
      </c>
      <c r="Y1450">
        <f t="shared" si="262"/>
        <v>0</v>
      </c>
    </row>
    <row r="1451" spans="1:25">
      <c r="A1451" s="6"/>
      <c r="B1451" s="6" t="s">
        <v>30</v>
      </c>
      <c r="C1451" s="7" t="s">
        <v>26</v>
      </c>
      <c r="D1451" s="7"/>
      <c r="E1451" s="7"/>
      <c r="F1451" s="7">
        <f t="shared" si="258"/>
        <v>2579</v>
      </c>
      <c r="G1451" s="8"/>
      <c r="H1451" s="7">
        <f t="shared" si="257"/>
        <v>0</v>
      </c>
      <c r="I1451" s="7"/>
      <c r="J1451" s="7">
        <v>50</v>
      </c>
      <c r="K1451" s="7"/>
      <c r="L1451" s="7"/>
      <c r="M1451" s="7"/>
      <c r="N1451" s="7"/>
      <c r="O1451" s="7"/>
      <c r="P1451" s="7"/>
      <c r="Q1451" s="7"/>
      <c r="R1451" s="7"/>
      <c r="S1451" s="9">
        <f t="shared" si="252"/>
        <v>2529</v>
      </c>
      <c r="T1451" s="10">
        <f t="shared" si="253"/>
        <v>0</v>
      </c>
      <c r="U1451" s="10"/>
      <c r="V1451">
        <f t="shared" si="259"/>
        <v>5</v>
      </c>
      <c r="W1451">
        <f t="shared" si="260"/>
        <v>0</v>
      </c>
      <c r="X1451">
        <f t="shared" si="261"/>
        <v>50</v>
      </c>
      <c r="Y1451">
        <f t="shared" si="262"/>
        <v>6.5</v>
      </c>
    </row>
    <row r="1452" spans="1:25">
      <c r="A1452" s="6"/>
      <c r="B1452" s="6" t="s">
        <v>31</v>
      </c>
      <c r="C1452" s="7" t="s">
        <v>26</v>
      </c>
      <c r="D1452" s="7"/>
      <c r="E1452" s="7"/>
      <c r="F1452" s="7">
        <f t="shared" si="258"/>
        <v>1562</v>
      </c>
      <c r="G1452" s="8"/>
      <c r="H1452" s="7">
        <f t="shared" si="257"/>
        <v>0</v>
      </c>
      <c r="I1452" s="7"/>
      <c r="J1452" s="7"/>
      <c r="K1452" s="7"/>
      <c r="L1452" s="7"/>
      <c r="M1452" s="7">
        <v>21</v>
      </c>
      <c r="N1452" s="7"/>
      <c r="O1452" s="7"/>
      <c r="P1452" s="7"/>
      <c r="Q1452" s="7"/>
      <c r="R1452" s="7"/>
      <c r="S1452" s="9">
        <f t="shared" si="252"/>
        <v>1583</v>
      </c>
      <c r="T1452" s="10">
        <f t="shared" si="253"/>
        <v>0</v>
      </c>
      <c r="U1452" s="10"/>
      <c r="V1452">
        <f t="shared" si="259"/>
        <v>0</v>
      </c>
      <c r="W1452">
        <f t="shared" si="260"/>
        <v>0</v>
      </c>
      <c r="X1452">
        <f t="shared" si="261"/>
        <v>0</v>
      </c>
      <c r="Y1452">
        <f t="shared" si="262"/>
        <v>0</v>
      </c>
    </row>
    <row r="1453" spans="1:25">
      <c r="A1453" s="6"/>
      <c r="B1453" s="6" t="s">
        <v>32</v>
      </c>
      <c r="C1453" s="7" t="s">
        <v>26</v>
      </c>
      <c r="D1453" s="7"/>
      <c r="E1453" s="7"/>
      <c r="F1453" s="7">
        <f t="shared" si="258"/>
        <v>520</v>
      </c>
      <c r="G1453" s="8"/>
      <c r="H1453" s="7">
        <f t="shared" si="257"/>
        <v>0</v>
      </c>
      <c r="I1453" s="7"/>
      <c r="J1453" s="7">
        <v>45</v>
      </c>
      <c r="K1453" s="7"/>
      <c r="L1453" s="7"/>
      <c r="M1453" s="7">
        <v>1</v>
      </c>
      <c r="N1453" s="7"/>
      <c r="O1453" s="7"/>
      <c r="P1453" s="7"/>
      <c r="Q1453" s="7"/>
      <c r="R1453" s="7"/>
      <c r="S1453" s="9">
        <f t="shared" si="252"/>
        <v>476</v>
      </c>
      <c r="T1453" s="10">
        <f t="shared" si="253"/>
        <v>0</v>
      </c>
      <c r="U1453" s="10"/>
      <c r="V1453">
        <f t="shared" si="259"/>
        <v>4.5</v>
      </c>
      <c r="W1453">
        <f t="shared" si="260"/>
        <v>0</v>
      </c>
      <c r="X1453">
        <f t="shared" si="261"/>
        <v>45</v>
      </c>
      <c r="Y1453">
        <f t="shared" si="262"/>
        <v>5.85</v>
      </c>
    </row>
    <row r="1454" spans="1:25">
      <c r="A1454" s="6"/>
      <c r="B1454" s="6" t="s">
        <v>33</v>
      </c>
      <c r="C1454" s="7" t="s">
        <v>26</v>
      </c>
      <c r="D1454" s="7"/>
      <c r="E1454" s="7"/>
      <c r="F1454" s="7">
        <f t="shared" si="258"/>
        <v>1615</v>
      </c>
      <c r="G1454" s="8"/>
      <c r="H1454" s="7">
        <f t="shared" si="257"/>
        <v>0</v>
      </c>
      <c r="I1454" s="7"/>
      <c r="J1454" s="7"/>
      <c r="K1454" s="7"/>
      <c r="L1454" s="7"/>
      <c r="M1454" s="7">
        <v>23</v>
      </c>
      <c r="N1454" s="7"/>
      <c r="O1454" s="7"/>
      <c r="P1454" s="7"/>
      <c r="Q1454" s="7"/>
      <c r="R1454" s="7"/>
      <c r="S1454" s="9">
        <f t="shared" si="252"/>
        <v>1638</v>
      </c>
      <c r="T1454" s="10">
        <f t="shared" si="253"/>
        <v>0</v>
      </c>
      <c r="U1454" s="10"/>
    </row>
    <row r="1455" spans="1:25">
      <c r="A1455" s="6"/>
      <c r="B1455" s="11" t="s">
        <v>34</v>
      </c>
      <c r="C1455" s="7" t="s">
        <v>26</v>
      </c>
      <c r="D1455" s="7"/>
      <c r="E1455" s="7"/>
      <c r="F1455" s="7">
        <f t="shared" si="258"/>
        <v>17</v>
      </c>
      <c r="G1455" s="8"/>
      <c r="H1455" s="7">
        <f t="shared" si="257"/>
        <v>0</v>
      </c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9">
        <f t="shared" si="252"/>
        <v>17</v>
      </c>
      <c r="T1455" s="10">
        <f t="shared" si="253"/>
        <v>0</v>
      </c>
      <c r="U1455" s="10"/>
    </row>
    <row r="1456" spans="1:25">
      <c r="A1456" s="6"/>
      <c r="B1456" s="11" t="s">
        <v>35</v>
      </c>
      <c r="C1456" s="7" t="s">
        <v>26</v>
      </c>
      <c r="D1456" s="7"/>
      <c r="E1456" s="7"/>
      <c r="F1456" s="7">
        <f t="shared" si="258"/>
        <v>120</v>
      </c>
      <c r="G1456" s="8"/>
      <c r="H1456" s="7">
        <f t="shared" si="257"/>
        <v>0</v>
      </c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9">
        <f t="shared" si="252"/>
        <v>120</v>
      </c>
      <c r="T1456" s="10">
        <f t="shared" si="253"/>
        <v>0</v>
      </c>
      <c r="U1456" s="10"/>
    </row>
    <row r="1457" spans="1:21">
      <c r="A1457" s="6"/>
      <c r="B1457" s="11" t="s">
        <v>36</v>
      </c>
      <c r="C1457" s="7" t="s">
        <v>26</v>
      </c>
      <c r="D1457" s="7"/>
      <c r="E1457" s="7"/>
      <c r="F1457" s="7">
        <f t="shared" si="258"/>
        <v>7662</v>
      </c>
      <c r="G1457" s="8"/>
      <c r="H1457" s="7">
        <f t="shared" ref="H1457:H1491" si="263">T1372</f>
        <v>0</v>
      </c>
      <c r="I1457" s="7"/>
      <c r="J1457" s="7">
        <v>400</v>
      </c>
      <c r="K1457" s="7"/>
      <c r="L1457" s="7"/>
      <c r="M1457" s="7"/>
      <c r="N1457" s="7"/>
      <c r="O1457" s="7"/>
      <c r="P1457" s="7"/>
      <c r="Q1457" s="7"/>
      <c r="R1457" s="7"/>
      <c r="S1457" s="9">
        <f t="shared" si="252"/>
        <v>7262</v>
      </c>
      <c r="T1457" s="10">
        <f t="shared" si="253"/>
        <v>0</v>
      </c>
      <c r="U1457" s="10"/>
    </row>
    <row r="1458" spans="1:21">
      <c r="A1458" s="6"/>
      <c r="B1458" s="11" t="s">
        <v>37</v>
      </c>
      <c r="C1458" s="7" t="s">
        <v>26</v>
      </c>
      <c r="D1458" s="7"/>
      <c r="E1458" s="7"/>
      <c r="F1458" s="7">
        <f t="shared" si="258"/>
        <v>1404</v>
      </c>
      <c r="G1458" s="8"/>
      <c r="H1458" s="7">
        <f t="shared" si="263"/>
        <v>0</v>
      </c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9">
        <f t="shared" si="252"/>
        <v>1404</v>
      </c>
      <c r="T1458" s="10">
        <f t="shared" si="253"/>
        <v>0</v>
      </c>
      <c r="U1458" s="10"/>
    </row>
    <row r="1459" spans="1:21">
      <c r="A1459" s="6"/>
      <c r="B1459" s="11" t="s">
        <v>38</v>
      </c>
      <c r="C1459" s="7" t="s">
        <v>26</v>
      </c>
      <c r="D1459" s="7"/>
      <c r="E1459" s="7"/>
      <c r="F1459" s="7">
        <f t="shared" ref="F1459:F1471" si="264">S1374</f>
        <v>0</v>
      </c>
      <c r="G1459" s="8"/>
      <c r="H1459" s="7">
        <f t="shared" si="263"/>
        <v>0</v>
      </c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9">
        <f t="shared" si="252"/>
        <v>0</v>
      </c>
      <c r="T1459" s="10">
        <f t="shared" si="253"/>
        <v>0</v>
      </c>
      <c r="U1459" s="10"/>
    </row>
    <row r="1460" spans="1:21">
      <c r="A1460" s="6"/>
      <c r="B1460" s="11" t="s">
        <v>39</v>
      </c>
      <c r="C1460" s="7" t="s">
        <v>26</v>
      </c>
      <c r="D1460" s="7"/>
      <c r="E1460" s="7"/>
      <c r="F1460" s="7">
        <f t="shared" si="264"/>
        <v>1760</v>
      </c>
      <c r="G1460" s="8"/>
      <c r="H1460" s="7">
        <f t="shared" si="263"/>
        <v>0</v>
      </c>
      <c r="I1460" s="7"/>
      <c r="J1460" s="7"/>
      <c r="K1460" s="7"/>
      <c r="L1460" s="7"/>
      <c r="M1460" s="7">
        <v>96</v>
      </c>
      <c r="N1460" s="7"/>
      <c r="O1460" s="7"/>
      <c r="P1460" s="7"/>
      <c r="Q1460" s="7"/>
      <c r="R1460" s="7"/>
      <c r="S1460" s="9">
        <f t="shared" si="252"/>
        <v>1856</v>
      </c>
      <c r="T1460" s="10">
        <f t="shared" si="253"/>
        <v>0</v>
      </c>
      <c r="U1460" s="10"/>
    </row>
    <row r="1461" spans="1:21">
      <c r="A1461" s="6"/>
      <c r="B1461" s="11" t="s">
        <v>40</v>
      </c>
      <c r="C1461" s="7" t="s">
        <v>41</v>
      </c>
      <c r="D1461" s="7"/>
      <c r="E1461" s="7"/>
      <c r="F1461" s="7">
        <f t="shared" si="264"/>
        <v>0</v>
      </c>
      <c r="G1461" s="8"/>
      <c r="H1461" s="7">
        <f t="shared" si="263"/>
        <v>0</v>
      </c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9">
        <f t="shared" si="252"/>
        <v>0</v>
      </c>
      <c r="T1461" s="10">
        <f t="shared" si="253"/>
        <v>0</v>
      </c>
      <c r="U1461" s="10"/>
    </row>
    <row r="1462" spans="1:21">
      <c r="A1462" s="6"/>
      <c r="B1462" s="11" t="s">
        <v>42</v>
      </c>
      <c r="C1462" s="7" t="s">
        <v>41</v>
      </c>
      <c r="D1462" s="7"/>
      <c r="E1462" s="7"/>
      <c r="F1462" s="7">
        <f t="shared" si="264"/>
        <v>53</v>
      </c>
      <c r="G1462" s="8"/>
      <c r="H1462" s="7">
        <f t="shared" si="263"/>
        <v>0</v>
      </c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9">
        <f t="shared" si="252"/>
        <v>53</v>
      </c>
      <c r="T1462" s="10">
        <f t="shared" si="253"/>
        <v>0</v>
      </c>
      <c r="U1462" s="10"/>
    </row>
    <row r="1463" spans="1:21">
      <c r="A1463" s="6"/>
      <c r="B1463" s="11" t="s">
        <v>43</v>
      </c>
      <c r="C1463" s="7" t="s">
        <v>41</v>
      </c>
      <c r="D1463" s="7"/>
      <c r="E1463" s="7"/>
      <c r="F1463" s="7">
        <f t="shared" si="264"/>
        <v>0</v>
      </c>
      <c r="G1463" s="8"/>
      <c r="H1463" s="7">
        <f t="shared" si="263"/>
        <v>0</v>
      </c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9">
        <f t="shared" si="252"/>
        <v>0</v>
      </c>
      <c r="T1463" s="10">
        <f t="shared" si="253"/>
        <v>0</v>
      </c>
      <c r="U1463" s="10"/>
    </row>
    <row r="1464" spans="1:21">
      <c r="A1464" s="6"/>
      <c r="B1464" s="11" t="s">
        <v>44</v>
      </c>
      <c r="C1464" s="7" t="s">
        <v>41</v>
      </c>
      <c r="D1464" s="7"/>
      <c r="E1464" s="7"/>
      <c r="F1464" s="7">
        <f t="shared" si="264"/>
        <v>75</v>
      </c>
      <c r="G1464" s="8"/>
      <c r="H1464" s="7">
        <f t="shared" si="263"/>
        <v>0</v>
      </c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9">
        <f t="shared" si="252"/>
        <v>75</v>
      </c>
      <c r="T1464" s="10">
        <f t="shared" si="253"/>
        <v>0</v>
      </c>
      <c r="U1464" s="10"/>
    </row>
    <row r="1465" spans="1:21">
      <c r="A1465" s="6"/>
      <c r="B1465" s="11" t="s">
        <v>45</v>
      </c>
      <c r="C1465" s="7" t="s">
        <v>41</v>
      </c>
      <c r="D1465" s="7"/>
      <c r="E1465" s="7"/>
      <c r="F1465" s="7">
        <f t="shared" si="264"/>
        <v>0</v>
      </c>
      <c r="G1465" s="8"/>
      <c r="H1465" s="7">
        <f t="shared" si="263"/>
        <v>0</v>
      </c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9">
        <f t="shared" si="252"/>
        <v>0</v>
      </c>
      <c r="T1465" s="10">
        <f t="shared" si="253"/>
        <v>0</v>
      </c>
      <c r="U1465" s="10"/>
    </row>
    <row r="1466" spans="1:21">
      <c r="A1466" s="6"/>
      <c r="B1466" s="11" t="s">
        <v>46</v>
      </c>
      <c r="C1466" s="7" t="s">
        <v>41</v>
      </c>
      <c r="D1466" s="7"/>
      <c r="E1466" s="7"/>
      <c r="F1466" s="7">
        <f t="shared" si="264"/>
        <v>17</v>
      </c>
      <c r="G1466" s="8"/>
      <c r="H1466" s="7">
        <f t="shared" si="263"/>
        <v>0</v>
      </c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9">
        <f t="shared" si="252"/>
        <v>17</v>
      </c>
      <c r="T1466" s="10">
        <f t="shared" si="253"/>
        <v>0</v>
      </c>
      <c r="U1466" s="10"/>
    </row>
    <row r="1467" spans="1:21">
      <c r="A1467" s="6"/>
      <c r="B1467" s="11" t="s">
        <v>47</v>
      </c>
      <c r="C1467" s="7" t="s">
        <v>26</v>
      </c>
      <c r="D1467" s="7"/>
      <c r="E1467" s="7"/>
      <c r="F1467" s="7">
        <f t="shared" si="264"/>
        <v>0</v>
      </c>
      <c r="G1467" s="8"/>
      <c r="H1467" s="7">
        <f t="shared" si="263"/>
        <v>0</v>
      </c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9">
        <f t="shared" ref="S1467:S1530" si="265">F1467+G1467-J1467-K1467-L1467+M1467+O1467-P1467-R1467</f>
        <v>0</v>
      </c>
      <c r="T1467" s="10">
        <f t="shared" ref="T1467:T1530" si="266">H1467+I1467+N1467+R1467-Q1467</f>
        <v>0</v>
      </c>
      <c r="U1467" s="10"/>
    </row>
    <row r="1468" spans="1:21">
      <c r="A1468" s="6"/>
      <c r="B1468" s="11" t="s">
        <v>48</v>
      </c>
      <c r="C1468" s="7" t="s">
        <v>26</v>
      </c>
      <c r="D1468" s="7"/>
      <c r="E1468" s="7"/>
      <c r="F1468" s="7">
        <f t="shared" si="264"/>
        <v>21142</v>
      </c>
      <c r="G1468" s="8"/>
      <c r="H1468" s="7">
        <f t="shared" si="263"/>
        <v>0</v>
      </c>
      <c r="I1468" s="7"/>
      <c r="J1468" s="7">
        <v>2400</v>
      </c>
      <c r="K1468" s="7"/>
      <c r="L1468" s="7"/>
      <c r="M1468" s="7"/>
      <c r="N1468" s="7"/>
      <c r="O1468" s="7"/>
      <c r="P1468" s="7"/>
      <c r="Q1468" s="7"/>
      <c r="R1468" s="7"/>
      <c r="S1468" s="9">
        <f t="shared" si="265"/>
        <v>18742</v>
      </c>
      <c r="T1468" s="10">
        <f t="shared" si="266"/>
        <v>0</v>
      </c>
      <c r="U1468" s="10" t="s">
        <v>121</v>
      </c>
    </row>
    <row r="1469" spans="1:21">
      <c r="A1469" s="6"/>
      <c r="B1469" s="11" t="s">
        <v>50</v>
      </c>
      <c r="C1469" s="7" t="s">
        <v>26</v>
      </c>
      <c r="D1469" s="7"/>
      <c r="E1469" s="7"/>
      <c r="F1469" s="7">
        <f t="shared" si="264"/>
        <v>0</v>
      </c>
      <c r="G1469" s="8"/>
      <c r="H1469" s="7">
        <f t="shared" si="263"/>
        <v>0</v>
      </c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9">
        <f t="shared" si="265"/>
        <v>0</v>
      </c>
      <c r="T1469" s="10">
        <f t="shared" si="266"/>
        <v>0</v>
      </c>
      <c r="U1469" s="10"/>
    </row>
    <row r="1470" spans="1:21">
      <c r="A1470" s="6"/>
      <c r="B1470" s="11" t="s">
        <v>51</v>
      </c>
      <c r="C1470" s="7" t="s">
        <v>26</v>
      </c>
      <c r="D1470" s="7"/>
      <c r="E1470" s="7"/>
      <c r="F1470" s="7">
        <f t="shared" si="264"/>
        <v>0</v>
      </c>
      <c r="G1470" s="8"/>
      <c r="H1470" s="7">
        <f t="shared" si="263"/>
        <v>0</v>
      </c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9">
        <f t="shared" si="265"/>
        <v>0</v>
      </c>
      <c r="T1470" s="10">
        <f t="shared" si="266"/>
        <v>0</v>
      </c>
      <c r="U1470" s="10"/>
    </row>
    <row r="1471" spans="1:21">
      <c r="A1471" s="6"/>
      <c r="B1471" s="11" t="s">
        <v>52</v>
      </c>
      <c r="C1471" s="7" t="s">
        <v>26</v>
      </c>
      <c r="D1471" s="7"/>
      <c r="E1471" s="7"/>
      <c r="F1471" s="7">
        <f t="shared" si="264"/>
        <v>4197</v>
      </c>
      <c r="G1471" s="8"/>
      <c r="H1471" s="7">
        <f t="shared" si="263"/>
        <v>0</v>
      </c>
      <c r="I1471" s="7"/>
      <c r="J1471" s="7">
        <v>960</v>
      </c>
      <c r="K1471" s="7"/>
      <c r="L1471" s="7"/>
      <c r="M1471" s="7"/>
      <c r="N1471" s="7"/>
      <c r="O1471" s="7"/>
      <c r="P1471" s="7"/>
      <c r="Q1471" s="7"/>
      <c r="R1471" s="7"/>
      <c r="S1471" s="9">
        <f t="shared" si="265"/>
        <v>3237</v>
      </c>
      <c r="T1471" s="10">
        <f t="shared" si="266"/>
        <v>0</v>
      </c>
      <c r="U1471" s="10"/>
    </row>
    <row r="1472" spans="1:21">
      <c r="A1472" s="6"/>
      <c r="B1472" s="11" t="s">
        <v>53</v>
      </c>
      <c r="C1472" s="7" t="s">
        <v>54</v>
      </c>
      <c r="D1472" s="7"/>
      <c r="E1472" s="7"/>
      <c r="F1472" s="7">
        <f t="shared" ref="F1472:F1490" si="267">S1387</f>
        <v>0</v>
      </c>
      <c r="G1472" s="8"/>
      <c r="H1472" s="7">
        <f t="shared" si="263"/>
        <v>0</v>
      </c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9">
        <f t="shared" si="265"/>
        <v>0</v>
      </c>
      <c r="T1472" s="10">
        <f t="shared" si="266"/>
        <v>0</v>
      </c>
      <c r="U1472" s="10"/>
    </row>
    <row r="1473" spans="1:21">
      <c r="A1473" s="6"/>
      <c r="B1473" s="11" t="s">
        <v>55</v>
      </c>
      <c r="C1473" s="7" t="s">
        <v>54</v>
      </c>
      <c r="D1473" s="7"/>
      <c r="E1473" s="7"/>
      <c r="F1473" s="7">
        <f t="shared" si="267"/>
        <v>15</v>
      </c>
      <c r="G1473" s="8"/>
      <c r="H1473" s="7">
        <f t="shared" si="263"/>
        <v>0</v>
      </c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9">
        <f t="shared" si="265"/>
        <v>15</v>
      </c>
      <c r="T1473" s="10">
        <f t="shared" si="266"/>
        <v>0</v>
      </c>
      <c r="U1473" s="10"/>
    </row>
    <row r="1474" spans="1:21">
      <c r="A1474" s="6"/>
      <c r="B1474" s="11" t="s">
        <v>56</v>
      </c>
      <c r="C1474" s="7" t="s">
        <v>54</v>
      </c>
      <c r="D1474" s="7"/>
      <c r="E1474" s="7"/>
      <c r="F1474" s="7">
        <f t="shared" si="267"/>
        <v>1923</v>
      </c>
      <c r="G1474" s="8"/>
      <c r="H1474" s="7">
        <f t="shared" si="263"/>
        <v>0</v>
      </c>
      <c r="I1474" s="7"/>
      <c r="J1474" s="7">
        <v>70</v>
      </c>
      <c r="K1474" s="7">
        <v>180</v>
      </c>
      <c r="L1474" s="7"/>
      <c r="M1474" s="7"/>
      <c r="N1474" s="7"/>
      <c r="O1474" s="7"/>
      <c r="P1474" s="7"/>
      <c r="Q1474" s="7"/>
      <c r="R1474" s="7"/>
      <c r="S1474" s="9">
        <f t="shared" si="265"/>
        <v>1673</v>
      </c>
      <c r="T1474" s="10">
        <f t="shared" si="266"/>
        <v>0</v>
      </c>
      <c r="U1474" s="10"/>
    </row>
    <row r="1475" spans="1:21">
      <c r="A1475" s="6"/>
      <c r="B1475" s="11" t="s">
        <v>57</v>
      </c>
      <c r="C1475" s="7" t="s">
        <v>54</v>
      </c>
      <c r="D1475" s="7"/>
      <c r="E1475" s="7"/>
      <c r="F1475" s="7">
        <f t="shared" si="267"/>
        <v>113</v>
      </c>
      <c r="G1475" s="8"/>
      <c r="H1475" s="7">
        <f t="shared" si="263"/>
        <v>0</v>
      </c>
      <c r="I1475" s="7"/>
      <c r="J1475" s="7">
        <v>128</v>
      </c>
      <c r="K1475" s="7"/>
      <c r="L1475" s="7"/>
      <c r="M1475" s="7">
        <v>48</v>
      </c>
      <c r="N1475" s="7"/>
      <c r="O1475" s="7"/>
      <c r="P1475" s="7"/>
      <c r="Q1475" s="7"/>
      <c r="R1475" s="7"/>
      <c r="S1475" s="9">
        <f t="shared" si="265"/>
        <v>33</v>
      </c>
      <c r="T1475" s="10">
        <f t="shared" si="266"/>
        <v>0</v>
      </c>
      <c r="U1475" s="10"/>
    </row>
    <row r="1476" spans="1:21">
      <c r="A1476" s="6"/>
      <c r="B1476" s="11" t="s">
        <v>58</v>
      </c>
      <c r="C1476" s="7" t="s">
        <v>54</v>
      </c>
      <c r="D1476" s="7"/>
      <c r="E1476" s="7"/>
      <c r="F1476" s="7">
        <f t="shared" si="267"/>
        <v>0</v>
      </c>
      <c r="G1476" s="8"/>
      <c r="H1476" s="7">
        <f t="shared" si="263"/>
        <v>0</v>
      </c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9">
        <f t="shared" si="265"/>
        <v>0</v>
      </c>
      <c r="T1476" s="10">
        <f t="shared" si="266"/>
        <v>0</v>
      </c>
      <c r="U1476" s="10"/>
    </row>
    <row r="1477" spans="1:21">
      <c r="A1477" s="6"/>
      <c r="B1477" s="11" t="s">
        <v>59</v>
      </c>
      <c r="C1477" s="7" t="s">
        <v>54</v>
      </c>
      <c r="D1477" s="7"/>
      <c r="E1477" s="7"/>
      <c r="F1477" s="7">
        <f t="shared" si="267"/>
        <v>19</v>
      </c>
      <c r="G1477" s="8"/>
      <c r="H1477" s="7">
        <f t="shared" si="263"/>
        <v>0</v>
      </c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9">
        <f t="shared" si="265"/>
        <v>19</v>
      </c>
      <c r="T1477" s="10">
        <f t="shared" si="266"/>
        <v>0</v>
      </c>
      <c r="U1477" s="10"/>
    </row>
    <row r="1478" spans="1:21">
      <c r="A1478" s="6"/>
      <c r="B1478" s="11" t="s">
        <v>60</v>
      </c>
      <c r="C1478" s="7" t="s">
        <v>61</v>
      </c>
      <c r="D1478" s="7"/>
      <c r="E1478" s="7"/>
      <c r="F1478" s="7">
        <f t="shared" si="267"/>
        <v>0</v>
      </c>
      <c r="G1478" s="8"/>
      <c r="H1478" s="7">
        <f t="shared" si="263"/>
        <v>0</v>
      </c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9">
        <f t="shared" si="265"/>
        <v>0</v>
      </c>
      <c r="T1478" s="10">
        <f t="shared" si="266"/>
        <v>0</v>
      </c>
      <c r="U1478" s="10"/>
    </row>
    <row r="1479" spans="1:21">
      <c r="A1479" s="6"/>
      <c r="B1479" s="11" t="s">
        <v>62</v>
      </c>
      <c r="C1479" s="7" t="s">
        <v>61</v>
      </c>
      <c r="D1479" s="7"/>
      <c r="E1479" s="7"/>
      <c r="F1479" s="7">
        <f t="shared" si="267"/>
        <v>11</v>
      </c>
      <c r="G1479" s="8"/>
      <c r="H1479" s="7">
        <f t="shared" si="263"/>
        <v>0</v>
      </c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9">
        <f t="shared" si="265"/>
        <v>11</v>
      </c>
      <c r="T1479" s="10">
        <f t="shared" si="266"/>
        <v>0</v>
      </c>
      <c r="U1479" s="10"/>
    </row>
    <row r="1480" spans="1:21">
      <c r="A1480" s="6"/>
      <c r="B1480" s="10" t="s">
        <v>63</v>
      </c>
      <c r="C1480" s="10" t="s">
        <v>41</v>
      </c>
      <c r="D1480" s="7"/>
      <c r="E1480" s="7"/>
      <c r="F1480" s="7">
        <f t="shared" si="267"/>
        <v>0</v>
      </c>
      <c r="G1480" s="8"/>
      <c r="H1480" s="7">
        <f t="shared" si="263"/>
        <v>0</v>
      </c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9">
        <f t="shared" si="265"/>
        <v>0</v>
      </c>
      <c r="T1480" s="10">
        <f t="shared" si="266"/>
        <v>0</v>
      </c>
      <c r="U1480" s="10"/>
    </row>
    <row r="1481" spans="1:21">
      <c r="A1481" s="6"/>
      <c r="B1481" s="10" t="s">
        <v>64</v>
      </c>
      <c r="C1481" s="10" t="s">
        <v>41</v>
      </c>
      <c r="D1481" s="7"/>
      <c r="E1481" s="7"/>
      <c r="F1481" s="7">
        <f t="shared" si="267"/>
        <v>5</v>
      </c>
      <c r="G1481" s="8"/>
      <c r="H1481" s="7">
        <f t="shared" si="263"/>
        <v>0</v>
      </c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9">
        <f t="shared" si="265"/>
        <v>5</v>
      </c>
      <c r="T1481" s="10">
        <f t="shared" si="266"/>
        <v>0</v>
      </c>
      <c r="U1481" s="10"/>
    </row>
    <row r="1482" spans="1:21">
      <c r="A1482" s="6"/>
      <c r="B1482" s="11" t="s">
        <v>65</v>
      </c>
      <c r="C1482" s="7" t="s">
        <v>26</v>
      </c>
      <c r="D1482" s="7"/>
      <c r="E1482" s="7"/>
      <c r="F1482" s="7">
        <f t="shared" si="267"/>
        <v>0</v>
      </c>
      <c r="G1482" s="8"/>
      <c r="H1482" s="7">
        <f t="shared" si="263"/>
        <v>0</v>
      </c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9">
        <f t="shared" si="265"/>
        <v>0</v>
      </c>
      <c r="T1482" s="10">
        <f t="shared" si="266"/>
        <v>0</v>
      </c>
      <c r="U1482" s="10"/>
    </row>
    <row r="1483" spans="1:21">
      <c r="A1483" s="6"/>
      <c r="B1483" s="11" t="s">
        <v>66</v>
      </c>
      <c r="C1483" s="7" t="s">
        <v>26</v>
      </c>
      <c r="D1483" s="7"/>
      <c r="E1483" s="7"/>
      <c r="F1483" s="7">
        <f t="shared" si="267"/>
        <v>71</v>
      </c>
      <c r="G1483" s="8"/>
      <c r="H1483" s="7">
        <f t="shared" si="263"/>
        <v>0</v>
      </c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9">
        <f t="shared" si="265"/>
        <v>71</v>
      </c>
      <c r="T1483" s="10">
        <f t="shared" si="266"/>
        <v>0</v>
      </c>
      <c r="U1483" s="10"/>
    </row>
    <row r="1484" spans="1:21">
      <c r="A1484" s="6"/>
      <c r="B1484" s="11" t="s">
        <v>67</v>
      </c>
      <c r="C1484" s="7" t="s">
        <v>26</v>
      </c>
      <c r="D1484" s="7"/>
      <c r="E1484" s="7"/>
      <c r="F1484" s="7">
        <f t="shared" si="267"/>
        <v>0</v>
      </c>
      <c r="G1484" s="8"/>
      <c r="H1484" s="7">
        <f t="shared" si="263"/>
        <v>0</v>
      </c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9">
        <f t="shared" si="265"/>
        <v>0</v>
      </c>
      <c r="T1484" s="10">
        <f t="shared" si="266"/>
        <v>0</v>
      </c>
      <c r="U1484" s="10"/>
    </row>
    <row r="1485" spans="1:21">
      <c r="A1485" s="6"/>
      <c r="B1485" s="11" t="s">
        <v>68</v>
      </c>
      <c r="C1485" s="7" t="s">
        <v>26</v>
      </c>
      <c r="D1485" s="7"/>
      <c r="E1485" s="7"/>
      <c r="F1485" s="7">
        <f t="shared" si="267"/>
        <v>7</v>
      </c>
      <c r="G1485" s="8"/>
      <c r="H1485" s="7">
        <f t="shared" si="263"/>
        <v>0</v>
      </c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9">
        <f t="shared" si="265"/>
        <v>7</v>
      </c>
      <c r="T1485" s="10">
        <f t="shared" si="266"/>
        <v>0</v>
      </c>
      <c r="U1485" s="10"/>
    </row>
    <row r="1486" spans="1:21">
      <c r="A1486" s="6"/>
      <c r="B1486" s="11" t="s">
        <v>69</v>
      </c>
      <c r="C1486" s="7" t="s">
        <v>41</v>
      </c>
      <c r="D1486" s="7"/>
      <c r="E1486" s="7"/>
      <c r="F1486" s="7">
        <f t="shared" ref="F1486:F1500" si="268">S1401</f>
        <v>0</v>
      </c>
      <c r="G1486" s="8"/>
      <c r="H1486" s="7">
        <f t="shared" si="263"/>
        <v>0</v>
      </c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9">
        <f t="shared" si="265"/>
        <v>0</v>
      </c>
      <c r="T1486" s="10">
        <f t="shared" si="266"/>
        <v>0</v>
      </c>
      <c r="U1486" s="10"/>
    </row>
    <row r="1487" spans="1:21">
      <c r="A1487" s="6"/>
      <c r="B1487" s="11" t="s">
        <v>70</v>
      </c>
      <c r="C1487" s="7" t="s">
        <v>41</v>
      </c>
      <c r="D1487" s="7"/>
      <c r="E1487" s="7"/>
      <c r="F1487" s="7">
        <f t="shared" si="268"/>
        <v>13</v>
      </c>
      <c r="G1487" s="8"/>
      <c r="H1487" s="7">
        <f t="shared" si="263"/>
        <v>0</v>
      </c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9">
        <f t="shared" si="265"/>
        <v>13</v>
      </c>
      <c r="T1487" s="10">
        <f t="shared" si="266"/>
        <v>0</v>
      </c>
      <c r="U1487" s="10"/>
    </row>
    <row r="1488" spans="1:21">
      <c r="A1488" s="6"/>
      <c r="B1488" s="11" t="s">
        <v>71</v>
      </c>
      <c r="C1488" s="7" t="s">
        <v>61</v>
      </c>
      <c r="D1488" s="7"/>
      <c r="E1488" s="7"/>
      <c r="F1488" s="7">
        <f t="shared" si="268"/>
        <v>0</v>
      </c>
      <c r="G1488" s="8"/>
      <c r="H1488" s="7">
        <f t="shared" si="263"/>
        <v>0</v>
      </c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9">
        <f t="shared" si="265"/>
        <v>0</v>
      </c>
      <c r="T1488" s="10">
        <f t="shared" si="266"/>
        <v>0</v>
      </c>
      <c r="U1488" s="10"/>
    </row>
    <row r="1489" spans="1:21">
      <c r="A1489" s="6"/>
      <c r="B1489" s="11" t="s">
        <v>72</v>
      </c>
      <c r="C1489" s="7" t="s">
        <v>61</v>
      </c>
      <c r="D1489" s="7"/>
      <c r="E1489" s="7"/>
      <c r="F1489" s="7">
        <f t="shared" si="268"/>
        <v>8</v>
      </c>
      <c r="G1489" s="8"/>
      <c r="H1489" s="7">
        <f t="shared" si="263"/>
        <v>0</v>
      </c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9">
        <f t="shared" si="265"/>
        <v>8</v>
      </c>
      <c r="T1489" s="10">
        <f t="shared" si="266"/>
        <v>0</v>
      </c>
      <c r="U1489" s="10"/>
    </row>
    <row r="1490" spans="1:21">
      <c r="A1490" s="6"/>
      <c r="B1490" s="11" t="s">
        <v>73</v>
      </c>
      <c r="C1490" s="7" t="s">
        <v>26</v>
      </c>
      <c r="D1490" s="7"/>
      <c r="E1490" s="7"/>
      <c r="F1490" s="7">
        <f t="shared" si="268"/>
        <v>0</v>
      </c>
      <c r="G1490" s="8"/>
      <c r="H1490" s="7">
        <f t="shared" si="263"/>
        <v>0</v>
      </c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9">
        <f t="shared" si="265"/>
        <v>0</v>
      </c>
      <c r="T1490" s="10">
        <f t="shared" si="266"/>
        <v>0</v>
      </c>
      <c r="U1490" s="10"/>
    </row>
    <row r="1491" spans="1:21">
      <c r="A1491" s="6"/>
      <c r="B1491" s="11" t="s">
        <v>74</v>
      </c>
      <c r="C1491" s="7" t="s">
        <v>26</v>
      </c>
      <c r="D1491" s="7"/>
      <c r="E1491" s="7"/>
      <c r="F1491" s="7">
        <f t="shared" si="268"/>
        <v>22</v>
      </c>
      <c r="G1491" s="8"/>
      <c r="H1491" s="7">
        <f t="shared" si="263"/>
        <v>0</v>
      </c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9">
        <f t="shared" si="265"/>
        <v>22</v>
      </c>
      <c r="T1491" s="10">
        <f t="shared" si="266"/>
        <v>0</v>
      </c>
      <c r="U1491" s="10"/>
    </row>
    <row r="1492" spans="1:21">
      <c r="A1492" s="6"/>
      <c r="B1492" s="11" t="s">
        <v>75</v>
      </c>
      <c r="C1492" s="7" t="s">
        <v>26</v>
      </c>
      <c r="D1492" s="7"/>
      <c r="E1492" s="7"/>
      <c r="F1492" s="7">
        <f t="shared" si="268"/>
        <v>0</v>
      </c>
      <c r="G1492" s="8"/>
      <c r="H1492" s="7">
        <f t="shared" ref="H1492:H1551" si="269">T1407</f>
        <v>0</v>
      </c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9">
        <f t="shared" si="265"/>
        <v>0</v>
      </c>
      <c r="T1492" s="10">
        <f t="shared" si="266"/>
        <v>0</v>
      </c>
      <c r="U1492" s="10"/>
    </row>
    <row r="1493" spans="1:21">
      <c r="A1493" s="6"/>
      <c r="B1493" s="11" t="s">
        <v>76</v>
      </c>
      <c r="C1493" s="7" t="s">
        <v>26</v>
      </c>
      <c r="D1493" s="7"/>
      <c r="E1493" s="7"/>
      <c r="F1493" s="7">
        <f t="shared" si="268"/>
        <v>20</v>
      </c>
      <c r="G1493" s="8"/>
      <c r="H1493" s="7">
        <f t="shared" si="269"/>
        <v>0</v>
      </c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9">
        <f t="shared" si="265"/>
        <v>20</v>
      </c>
      <c r="T1493" s="10">
        <f t="shared" si="266"/>
        <v>0</v>
      </c>
      <c r="U1493" s="10"/>
    </row>
    <row r="1494" spans="1:21">
      <c r="A1494" s="6"/>
      <c r="B1494" s="11" t="s">
        <v>77</v>
      </c>
      <c r="C1494" s="7" t="s">
        <v>61</v>
      </c>
      <c r="D1494" s="7"/>
      <c r="E1494" s="7"/>
      <c r="F1494" s="7">
        <f t="shared" si="268"/>
        <v>0</v>
      </c>
      <c r="G1494" s="8"/>
      <c r="H1494" s="7">
        <f t="shared" si="269"/>
        <v>0</v>
      </c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9">
        <f t="shared" si="265"/>
        <v>0</v>
      </c>
      <c r="T1494" s="10">
        <f t="shared" si="266"/>
        <v>0</v>
      </c>
      <c r="U1494" s="10"/>
    </row>
    <row r="1495" spans="1:21">
      <c r="A1495" s="6"/>
      <c r="B1495" s="11" t="s">
        <v>78</v>
      </c>
      <c r="C1495" s="7" t="s">
        <v>61</v>
      </c>
      <c r="D1495" s="7"/>
      <c r="E1495" s="7"/>
      <c r="F1495" s="7">
        <f t="shared" si="268"/>
        <v>69</v>
      </c>
      <c r="G1495" s="8"/>
      <c r="H1495" s="7">
        <f t="shared" si="269"/>
        <v>0</v>
      </c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9">
        <f t="shared" si="265"/>
        <v>69</v>
      </c>
      <c r="T1495" s="10">
        <f t="shared" si="266"/>
        <v>0</v>
      </c>
      <c r="U1495" s="10"/>
    </row>
    <row r="1496" spans="1:21">
      <c r="A1496" s="6"/>
      <c r="B1496" s="11" t="s">
        <v>79</v>
      </c>
      <c r="C1496" s="7" t="s">
        <v>26</v>
      </c>
      <c r="D1496" s="7"/>
      <c r="E1496" s="7"/>
      <c r="F1496" s="7">
        <f t="shared" si="268"/>
        <v>0</v>
      </c>
      <c r="G1496" s="8"/>
      <c r="H1496" s="7">
        <f t="shared" si="269"/>
        <v>0</v>
      </c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9">
        <f t="shared" si="265"/>
        <v>0</v>
      </c>
      <c r="T1496" s="10">
        <f t="shared" si="266"/>
        <v>0</v>
      </c>
      <c r="U1496" s="10"/>
    </row>
    <row r="1497" spans="1:21">
      <c r="A1497" s="6"/>
      <c r="B1497" s="11" t="s">
        <v>119</v>
      </c>
      <c r="C1497" s="7" t="s">
        <v>26</v>
      </c>
      <c r="D1497" s="7"/>
      <c r="E1497" s="7"/>
      <c r="F1497" s="7">
        <f t="shared" si="268"/>
        <v>275</v>
      </c>
      <c r="G1497" s="8"/>
      <c r="H1497" s="7">
        <f t="shared" si="269"/>
        <v>0</v>
      </c>
      <c r="I1497" s="7"/>
      <c r="J1497" s="7"/>
      <c r="K1497" s="7"/>
      <c r="L1497" s="7"/>
      <c r="M1497" s="7">
        <v>22</v>
      </c>
      <c r="N1497" s="7"/>
      <c r="O1497" s="7"/>
      <c r="P1497" s="7"/>
      <c r="Q1497" s="7"/>
      <c r="R1497" s="7"/>
      <c r="S1497" s="9">
        <f t="shared" si="265"/>
        <v>297</v>
      </c>
      <c r="T1497" s="10">
        <f t="shared" si="266"/>
        <v>0</v>
      </c>
      <c r="U1497" s="10"/>
    </row>
    <row r="1498" spans="1:21">
      <c r="A1498" s="6"/>
      <c r="B1498" s="11" t="s">
        <v>81</v>
      </c>
      <c r="C1498" s="7" t="s">
        <v>26</v>
      </c>
      <c r="D1498" s="7"/>
      <c r="E1498" s="7"/>
      <c r="F1498" s="7">
        <f t="shared" ref="F1498:F1511" si="270">S1413</f>
        <v>0</v>
      </c>
      <c r="G1498" s="8"/>
      <c r="H1498" s="7">
        <f t="shared" si="269"/>
        <v>0</v>
      </c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9">
        <f t="shared" si="265"/>
        <v>0</v>
      </c>
      <c r="T1498" s="10">
        <f t="shared" si="266"/>
        <v>0</v>
      </c>
      <c r="U1498" s="10"/>
    </row>
    <row r="1499" spans="1:21">
      <c r="A1499" s="6"/>
      <c r="B1499" s="11" t="s">
        <v>82</v>
      </c>
      <c r="C1499" s="7" t="s">
        <v>26</v>
      </c>
      <c r="D1499" s="7"/>
      <c r="E1499" s="7"/>
      <c r="F1499" s="7">
        <f t="shared" si="270"/>
        <v>14</v>
      </c>
      <c r="G1499" s="8"/>
      <c r="H1499" s="7">
        <f t="shared" si="269"/>
        <v>0</v>
      </c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9">
        <f t="shared" si="265"/>
        <v>14</v>
      </c>
      <c r="T1499" s="10">
        <f t="shared" si="266"/>
        <v>0</v>
      </c>
      <c r="U1499" s="10"/>
    </row>
    <row r="1500" spans="1:21">
      <c r="A1500" s="6"/>
      <c r="B1500" s="11" t="s">
        <v>83</v>
      </c>
      <c r="C1500" s="7" t="s">
        <v>26</v>
      </c>
      <c r="D1500" s="7"/>
      <c r="E1500" s="7"/>
      <c r="F1500" s="7">
        <f t="shared" si="270"/>
        <v>0</v>
      </c>
      <c r="G1500" s="8"/>
      <c r="H1500" s="7">
        <f t="shared" si="269"/>
        <v>0</v>
      </c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9">
        <f t="shared" si="265"/>
        <v>0</v>
      </c>
      <c r="T1500" s="10">
        <f t="shared" si="266"/>
        <v>0</v>
      </c>
      <c r="U1500" s="10"/>
    </row>
    <row r="1501" spans="1:21">
      <c r="A1501" s="6"/>
      <c r="B1501" s="11" t="s">
        <v>84</v>
      </c>
      <c r="C1501" s="7" t="s">
        <v>26</v>
      </c>
      <c r="D1501" s="7"/>
      <c r="E1501" s="7"/>
      <c r="F1501" s="7">
        <f t="shared" si="270"/>
        <v>28</v>
      </c>
      <c r="G1501" s="8"/>
      <c r="H1501" s="7">
        <f t="shared" si="269"/>
        <v>0</v>
      </c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9">
        <f t="shared" si="265"/>
        <v>28</v>
      </c>
      <c r="T1501" s="10">
        <f t="shared" si="266"/>
        <v>0</v>
      </c>
      <c r="U1501" s="10"/>
    </row>
    <row r="1502" spans="1:21">
      <c r="A1502" s="6"/>
      <c r="B1502" s="11" t="s">
        <v>85</v>
      </c>
      <c r="C1502" s="7" t="s">
        <v>61</v>
      </c>
      <c r="D1502" s="7"/>
      <c r="E1502" s="7"/>
      <c r="F1502" s="7">
        <f t="shared" si="270"/>
        <v>0</v>
      </c>
      <c r="G1502" s="8"/>
      <c r="H1502" s="7">
        <f t="shared" si="269"/>
        <v>0</v>
      </c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9">
        <f t="shared" si="265"/>
        <v>0</v>
      </c>
      <c r="T1502" s="10">
        <f t="shared" si="266"/>
        <v>0</v>
      </c>
      <c r="U1502" s="10"/>
    </row>
    <row r="1503" spans="1:21">
      <c r="A1503" s="6"/>
      <c r="B1503" s="11" t="s">
        <v>86</v>
      </c>
      <c r="C1503" s="7" t="s">
        <v>61</v>
      </c>
      <c r="D1503" s="7"/>
      <c r="E1503" s="7"/>
      <c r="F1503" s="7">
        <f t="shared" si="270"/>
        <v>10</v>
      </c>
      <c r="G1503" s="8"/>
      <c r="H1503" s="7">
        <f t="shared" si="269"/>
        <v>0</v>
      </c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9">
        <f t="shared" si="265"/>
        <v>10</v>
      </c>
      <c r="T1503" s="10">
        <f t="shared" si="266"/>
        <v>0</v>
      </c>
      <c r="U1503" s="10"/>
    </row>
    <row r="1504" spans="1:21">
      <c r="A1504" s="6"/>
      <c r="B1504" s="11" t="s">
        <v>87</v>
      </c>
      <c r="C1504" s="7" t="s">
        <v>26</v>
      </c>
      <c r="D1504" s="7"/>
      <c r="E1504" s="7"/>
      <c r="F1504" s="7">
        <f t="shared" si="270"/>
        <v>0</v>
      </c>
      <c r="G1504" s="8"/>
      <c r="H1504" s="7">
        <f t="shared" si="269"/>
        <v>0</v>
      </c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9">
        <f t="shared" si="265"/>
        <v>0</v>
      </c>
      <c r="T1504" s="10">
        <f t="shared" si="266"/>
        <v>0</v>
      </c>
      <c r="U1504" s="10"/>
    </row>
    <row r="1505" spans="1:21">
      <c r="A1505" s="6"/>
      <c r="B1505" s="11" t="s">
        <v>88</v>
      </c>
      <c r="C1505" s="10"/>
      <c r="D1505" s="7"/>
      <c r="E1505" s="7"/>
      <c r="F1505" s="7">
        <f t="shared" si="270"/>
        <v>7</v>
      </c>
      <c r="G1505" s="8"/>
      <c r="H1505" s="7">
        <f t="shared" si="269"/>
        <v>0</v>
      </c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9">
        <f t="shared" si="265"/>
        <v>7</v>
      </c>
      <c r="T1505" s="10">
        <f t="shared" si="266"/>
        <v>0</v>
      </c>
      <c r="U1505" s="10"/>
    </row>
    <row r="1506" spans="1:21">
      <c r="A1506" s="6"/>
      <c r="B1506" s="11" t="s">
        <v>89</v>
      </c>
      <c r="C1506" s="7" t="s">
        <v>26</v>
      </c>
      <c r="D1506" s="7"/>
      <c r="E1506" s="7"/>
      <c r="F1506" s="7">
        <f t="shared" si="270"/>
        <v>858</v>
      </c>
      <c r="G1506" s="8"/>
      <c r="H1506" s="7">
        <f t="shared" si="269"/>
        <v>0</v>
      </c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9">
        <f t="shared" si="265"/>
        <v>858</v>
      </c>
      <c r="T1506" s="10">
        <f t="shared" si="266"/>
        <v>0</v>
      </c>
      <c r="U1506" s="10"/>
    </row>
    <row r="1507" spans="1:21">
      <c r="A1507" s="6"/>
      <c r="B1507" s="11" t="s">
        <v>90</v>
      </c>
      <c r="C1507" s="7" t="s">
        <v>26</v>
      </c>
      <c r="D1507" s="7"/>
      <c r="E1507" s="7"/>
      <c r="F1507" s="7">
        <f t="shared" ref="F1507:F1521" si="271">S1422</f>
        <v>0</v>
      </c>
      <c r="G1507" s="8"/>
      <c r="H1507" s="7">
        <f t="shared" si="269"/>
        <v>0</v>
      </c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9">
        <f t="shared" si="265"/>
        <v>0</v>
      </c>
      <c r="T1507" s="10">
        <f t="shared" si="266"/>
        <v>0</v>
      </c>
      <c r="U1507" s="10"/>
    </row>
    <row r="1508" spans="1:21">
      <c r="A1508" s="6"/>
      <c r="B1508" s="11" t="s">
        <v>91</v>
      </c>
      <c r="C1508" s="7" t="s">
        <v>26</v>
      </c>
      <c r="D1508" s="7"/>
      <c r="E1508" s="7"/>
      <c r="F1508" s="7">
        <f t="shared" si="271"/>
        <v>138</v>
      </c>
      <c r="G1508" s="8"/>
      <c r="H1508" s="7">
        <f t="shared" si="269"/>
        <v>0</v>
      </c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9">
        <f t="shared" si="265"/>
        <v>138</v>
      </c>
      <c r="T1508" s="10">
        <f t="shared" si="266"/>
        <v>0</v>
      </c>
      <c r="U1508" s="10"/>
    </row>
    <row r="1509" spans="1:21">
      <c r="A1509" s="6"/>
      <c r="B1509" s="12" t="s">
        <v>92</v>
      </c>
      <c r="C1509" s="13" t="s">
        <v>26</v>
      </c>
      <c r="D1509" s="7"/>
      <c r="E1509" s="7"/>
      <c r="F1509" s="7">
        <f t="shared" si="271"/>
        <v>1252</v>
      </c>
      <c r="G1509" s="8"/>
      <c r="H1509" s="7">
        <f t="shared" si="269"/>
        <v>0</v>
      </c>
      <c r="I1509" s="7"/>
      <c r="J1509" s="7">
        <v>180</v>
      </c>
      <c r="K1509" s="7">
        <v>28</v>
      </c>
      <c r="L1509" s="7"/>
      <c r="M1509" s="7"/>
      <c r="N1509" s="7"/>
      <c r="O1509" s="7"/>
      <c r="P1509" s="7"/>
      <c r="Q1509" s="7"/>
      <c r="R1509" s="7"/>
      <c r="S1509" s="9">
        <f t="shared" si="265"/>
        <v>1044</v>
      </c>
      <c r="T1509" s="10">
        <f t="shared" si="266"/>
        <v>0</v>
      </c>
      <c r="U1509" s="10"/>
    </row>
    <row r="1510" spans="1:21">
      <c r="A1510" s="6"/>
      <c r="B1510" s="12" t="s">
        <v>93</v>
      </c>
      <c r="C1510" s="13" t="s">
        <v>26</v>
      </c>
      <c r="D1510" s="7"/>
      <c r="E1510" s="7"/>
      <c r="F1510" s="7">
        <f t="shared" si="271"/>
        <v>2910</v>
      </c>
      <c r="G1510" s="8"/>
      <c r="H1510" s="7">
        <f t="shared" si="269"/>
        <v>0</v>
      </c>
      <c r="I1510" s="7"/>
      <c r="J1510" s="7"/>
      <c r="K1510" s="7"/>
      <c r="L1510" s="7"/>
      <c r="M1510" s="7">
        <v>21</v>
      </c>
      <c r="N1510" s="7"/>
      <c r="O1510" s="7"/>
      <c r="P1510" s="7"/>
      <c r="Q1510" s="7"/>
      <c r="R1510" s="7"/>
      <c r="S1510" s="9">
        <f t="shared" si="265"/>
        <v>2931</v>
      </c>
      <c r="T1510" s="10">
        <f t="shared" si="266"/>
        <v>0</v>
      </c>
      <c r="U1510" s="10"/>
    </row>
    <row r="1511" spans="1:21">
      <c r="A1511" s="6"/>
      <c r="B1511" s="11" t="s">
        <v>94</v>
      </c>
      <c r="C1511" s="7" t="s">
        <v>41</v>
      </c>
      <c r="D1511" s="7"/>
      <c r="E1511" s="7"/>
      <c r="F1511" s="7">
        <f t="shared" si="271"/>
        <v>0</v>
      </c>
      <c r="G1511" s="8"/>
      <c r="H1511" s="7">
        <f t="shared" si="269"/>
        <v>0</v>
      </c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9">
        <f t="shared" si="265"/>
        <v>0</v>
      </c>
      <c r="T1511" s="10">
        <f t="shared" si="266"/>
        <v>0</v>
      </c>
      <c r="U1511" s="10"/>
    </row>
    <row r="1512" spans="1:21">
      <c r="A1512" s="6"/>
      <c r="B1512" s="11" t="s">
        <v>95</v>
      </c>
      <c r="C1512" s="7" t="s">
        <v>41</v>
      </c>
      <c r="D1512" s="7"/>
      <c r="E1512" s="7"/>
      <c r="F1512" s="7">
        <f t="shared" si="271"/>
        <v>39</v>
      </c>
      <c r="G1512" s="8"/>
      <c r="H1512" s="7">
        <f t="shared" si="269"/>
        <v>0</v>
      </c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9">
        <f t="shared" si="265"/>
        <v>39</v>
      </c>
      <c r="T1512" s="10">
        <f t="shared" si="266"/>
        <v>0</v>
      </c>
      <c r="U1512" s="10"/>
    </row>
    <row r="1513" spans="1:21">
      <c r="A1513" s="6"/>
      <c r="B1513" s="11" t="s">
        <v>96</v>
      </c>
      <c r="C1513" s="7" t="s">
        <v>41</v>
      </c>
      <c r="D1513" s="7"/>
      <c r="E1513" s="7"/>
      <c r="F1513" s="7">
        <f t="shared" si="271"/>
        <v>0</v>
      </c>
      <c r="G1513" s="8"/>
      <c r="H1513" s="7">
        <f t="shared" si="269"/>
        <v>0</v>
      </c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9">
        <f t="shared" si="265"/>
        <v>0</v>
      </c>
      <c r="T1513" s="10">
        <f t="shared" si="266"/>
        <v>0</v>
      </c>
      <c r="U1513" s="10"/>
    </row>
    <row r="1514" spans="1:21">
      <c r="A1514" s="6"/>
      <c r="B1514" s="11" t="s">
        <v>97</v>
      </c>
      <c r="C1514" s="7" t="s">
        <v>41</v>
      </c>
      <c r="D1514" s="7"/>
      <c r="E1514" s="7"/>
      <c r="F1514" s="7">
        <f t="shared" si="271"/>
        <v>0</v>
      </c>
      <c r="G1514" s="8"/>
      <c r="H1514" s="7">
        <f t="shared" si="269"/>
        <v>0</v>
      </c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9">
        <f t="shared" si="265"/>
        <v>0</v>
      </c>
      <c r="T1514" s="10">
        <f t="shared" si="266"/>
        <v>0</v>
      </c>
      <c r="U1514" s="10"/>
    </row>
    <row r="1515" spans="1:21">
      <c r="A1515" s="6"/>
      <c r="B1515" s="11" t="s">
        <v>98</v>
      </c>
      <c r="C1515" s="7" t="s">
        <v>26</v>
      </c>
      <c r="D1515" s="7"/>
      <c r="E1515" s="7"/>
      <c r="F1515" s="7">
        <f t="shared" ref="F1515:F1531" si="272">S1430</f>
        <v>696</v>
      </c>
      <c r="G1515" s="8"/>
      <c r="H1515" s="7">
        <f t="shared" si="269"/>
        <v>0</v>
      </c>
      <c r="I1515" s="7"/>
      <c r="J1515" s="7">
        <v>60</v>
      </c>
      <c r="K1515" s="7"/>
      <c r="L1515" s="7"/>
      <c r="M1515" s="7"/>
      <c r="N1515" s="7"/>
      <c r="O1515" s="7"/>
      <c r="P1515" s="7"/>
      <c r="Q1515" s="7"/>
      <c r="R1515" s="7"/>
      <c r="S1515" s="9">
        <f t="shared" si="265"/>
        <v>636</v>
      </c>
      <c r="T1515" s="10">
        <f t="shared" si="266"/>
        <v>0</v>
      </c>
      <c r="U1515" s="10"/>
    </row>
    <row r="1516" spans="1:21">
      <c r="A1516" s="6"/>
      <c r="B1516" s="11" t="s">
        <v>99</v>
      </c>
      <c r="C1516" s="7" t="s">
        <v>26</v>
      </c>
      <c r="D1516" s="7"/>
      <c r="E1516" s="7"/>
      <c r="F1516" s="7">
        <f t="shared" si="272"/>
        <v>1283</v>
      </c>
      <c r="G1516" s="8"/>
      <c r="H1516" s="7">
        <f t="shared" si="269"/>
        <v>0</v>
      </c>
      <c r="I1516" s="7"/>
      <c r="J1516" s="7"/>
      <c r="K1516" s="7"/>
      <c r="L1516" s="7"/>
      <c r="M1516" s="7">
        <v>24</v>
      </c>
      <c r="N1516" s="7"/>
      <c r="O1516" s="7"/>
      <c r="P1516" s="7"/>
      <c r="Q1516" s="7"/>
      <c r="R1516" s="7"/>
      <c r="S1516" s="9">
        <f t="shared" si="265"/>
        <v>1307</v>
      </c>
      <c r="T1516" s="10">
        <f t="shared" si="266"/>
        <v>0</v>
      </c>
      <c r="U1516" s="10"/>
    </row>
    <row r="1517" spans="1:21">
      <c r="A1517" s="6"/>
      <c r="B1517" s="11" t="s">
        <v>100</v>
      </c>
      <c r="C1517" s="7" t="s">
        <v>26</v>
      </c>
      <c r="D1517" s="7"/>
      <c r="E1517" s="7"/>
      <c r="F1517" s="7">
        <f t="shared" si="272"/>
        <v>495</v>
      </c>
      <c r="G1517" s="8"/>
      <c r="H1517" s="7">
        <f t="shared" si="269"/>
        <v>0</v>
      </c>
      <c r="I1517" s="7"/>
      <c r="J1517" s="7">
        <v>24</v>
      </c>
      <c r="K1517" s="7"/>
      <c r="L1517" s="7"/>
      <c r="M1517" s="7"/>
      <c r="N1517" s="7"/>
      <c r="O1517" s="7"/>
      <c r="P1517" s="7"/>
      <c r="Q1517" s="7"/>
      <c r="R1517" s="7"/>
      <c r="S1517" s="9">
        <f t="shared" si="265"/>
        <v>471</v>
      </c>
      <c r="T1517" s="10">
        <f t="shared" si="266"/>
        <v>0</v>
      </c>
      <c r="U1517" s="10"/>
    </row>
    <row r="1518" spans="1:21">
      <c r="A1518" s="6"/>
      <c r="B1518" s="11" t="s">
        <v>101</v>
      </c>
      <c r="C1518" s="7" t="s">
        <v>26</v>
      </c>
      <c r="D1518" s="7"/>
      <c r="E1518" s="7"/>
      <c r="F1518" s="7">
        <f t="shared" si="272"/>
        <v>368</v>
      </c>
      <c r="G1518" s="8"/>
      <c r="H1518" s="7">
        <f t="shared" si="269"/>
        <v>0</v>
      </c>
      <c r="I1518" s="7"/>
      <c r="J1518" s="7"/>
      <c r="K1518" s="7"/>
      <c r="L1518" s="7"/>
      <c r="M1518" s="7">
        <v>17</v>
      </c>
      <c r="N1518" s="7"/>
      <c r="O1518" s="7"/>
      <c r="P1518" s="7"/>
      <c r="Q1518" s="7"/>
      <c r="R1518" s="7"/>
      <c r="S1518" s="9">
        <f t="shared" si="265"/>
        <v>385</v>
      </c>
      <c r="T1518" s="10">
        <f t="shared" si="266"/>
        <v>0</v>
      </c>
      <c r="U1518" s="10"/>
    </row>
    <row r="1519" spans="1:21">
      <c r="A1519" s="6"/>
      <c r="B1519" s="11" t="s">
        <v>102</v>
      </c>
      <c r="C1519" s="7" t="s">
        <v>26</v>
      </c>
      <c r="D1519" s="7"/>
      <c r="E1519" s="7"/>
      <c r="F1519" s="7">
        <f t="shared" si="272"/>
        <v>652</v>
      </c>
      <c r="G1519" s="8"/>
      <c r="H1519" s="7">
        <f t="shared" si="269"/>
        <v>0</v>
      </c>
      <c r="I1519" s="7"/>
      <c r="J1519" s="7">
        <v>48</v>
      </c>
      <c r="K1519" s="7"/>
      <c r="L1519" s="7"/>
      <c r="M1519" s="7"/>
      <c r="N1519" s="7"/>
      <c r="O1519" s="7"/>
      <c r="P1519" s="7"/>
      <c r="Q1519" s="7"/>
      <c r="R1519" s="7"/>
      <c r="S1519" s="9">
        <f t="shared" si="265"/>
        <v>604</v>
      </c>
      <c r="T1519" s="10">
        <f t="shared" si="266"/>
        <v>0</v>
      </c>
      <c r="U1519" s="10"/>
    </row>
    <row r="1520" spans="1:21">
      <c r="A1520" s="6"/>
      <c r="B1520" s="11" t="s">
        <v>103</v>
      </c>
      <c r="C1520" s="7" t="s">
        <v>26</v>
      </c>
      <c r="D1520" s="7"/>
      <c r="E1520" s="7"/>
      <c r="F1520" s="7">
        <f t="shared" si="272"/>
        <v>303</v>
      </c>
      <c r="G1520" s="8"/>
      <c r="H1520" s="7">
        <f t="shared" si="269"/>
        <v>0</v>
      </c>
      <c r="I1520" s="7"/>
      <c r="J1520" s="7"/>
      <c r="K1520" s="7"/>
      <c r="L1520" s="7"/>
      <c r="M1520" s="7">
        <v>23</v>
      </c>
      <c r="N1520" s="7"/>
      <c r="O1520" s="7"/>
      <c r="P1520" s="7"/>
      <c r="Q1520" s="7"/>
      <c r="R1520" s="7"/>
      <c r="S1520" s="9">
        <f t="shared" si="265"/>
        <v>326</v>
      </c>
      <c r="T1520" s="10">
        <f t="shared" si="266"/>
        <v>0</v>
      </c>
      <c r="U1520" s="10"/>
    </row>
    <row r="1521" spans="1:25">
      <c r="A1521" s="6"/>
      <c r="B1521" s="11" t="s">
        <v>112</v>
      </c>
      <c r="C1521" s="7" t="s">
        <v>113</v>
      </c>
      <c r="D1521" s="7"/>
      <c r="E1521" s="7"/>
      <c r="F1521" s="7">
        <f t="shared" si="272"/>
        <v>1263</v>
      </c>
      <c r="G1521" s="8"/>
      <c r="H1521" s="7">
        <f t="shared" si="269"/>
        <v>0</v>
      </c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9">
        <f t="shared" si="265"/>
        <v>1263</v>
      </c>
      <c r="T1521" s="10">
        <f t="shared" si="266"/>
        <v>0</v>
      </c>
      <c r="U1521" s="10"/>
    </row>
    <row r="1522" spans="1:25">
      <c r="A1522" s="6"/>
      <c r="B1522" s="11"/>
      <c r="C1522" s="7"/>
      <c r="D1522" s="7"/>
      <c r="E1522" s="7"/>
      <c r="F1522" s="7">
        <f t="shared" si="272"/>
        <v>0</v>
      </c>
      <c r="G1522" s="8"/>
      <c r="H1522" s="7">
        <f t="shared" si="269"/>
        <v>0</v>
      </c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9">
        <f t="shared" si="265"/>
        <v>0</v>
      </c>
      <c r="T1522" s="10">
        <f t="shared" si="266"/>
        <v>0</v>
      </c>
      <c r="U1522" s="10"/>
    </row>
    <row r="1523" spans="1:25">
      <c r="A1523" s="6"/>
      <c r="B1523" s="11"/>
      <c r="C1523" s="7"/>
      <c r="D1523" s="7"/>
      <c r="E1523" s="7"/>
      <c r="F1523" s="7">
        <f t="shared" si="272"/>
        <v>0</v>
      </c>
      <c r="G1523" s="8"/>
      <c r="H1523" s="7">
        <f t="shared" si="269"/>
        <v>0</v>
      </c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9">
        <f t="shared" si="265"/>
        <v>0</v>
      </c>
      <c r="T1523" s="10">
        <f t="shared" si="266"/>
        <v>0</v>
      </c>
      <c r="U1523" s="10"/>
    </row>
    <row r="1524" spans="1:25">
      <c r="A1524" s="6"/>
      <c r="B1524" s="11"/>
      <c r="C1524" s="7"/>
      <c r="D1524" s="7"/>
      <c r="E1524" s="7"/>
      <c r="F1524" s="7">
        <f t="shared" si="272"/>
        <v>0</v>
      </c>
      <c r="G1524" s="8"/>
      <c r="H1524" s="7">
        <f t="shared" si="269"/>
        <v>0</v>
      </c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9">
        <f t="shared" si="265"/>
        <v>0</v>
      </c>
      <c r="T1524" s="10">
        <f t="shared" si="266"/>
        <v>0</v>
      </c>
      <c r="U1524" s="10"/>
    </row>
    <row r="1525" spans="1:25">
      <c r="A1525" s="6"/>
      <c r="B1525" s="11"/>
      <c r="C1525" s="7"/>
      <c r="D1525" s="7"/>
      <c r="E1525" s="7"/>
      <c r="F1525" s="7">
        <f t="shared" si="272"/>
        <v>0</v>
      </c>
      <c r="G1525" s="8"/>
      <c r="H1525" s="7">
        <f t="shared" si="269"/>
        <v>0</v>
      </c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9">
        <f t="shared" si="265"/>
        <v>0</v>
      </c>
      <c r="T1525" s="10">
        <f t="shared" si="266"/>
        <v>0</v>
      </c>
      <c r="U1525" s="10"/>
    </row>
    <row r="1526" spans="1:25">
      <c r="A1526" s="6"/>
      <c r="B1526" s="11"/>
      <c r="C1526" s="7"/>
      <c r="D1526" s="7"/>
      <c r="E1526" s="7"/>
      <c r="F1526" s="7">
        <f t="shared" si="272"/>
        <v>0</v>
      </c>
      <c r="G1526" s="8"/>
      <c r="H1526" s="7">
        <f t="shared" si="269"/>
        <v>0</v>
      </c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9">
        <f t="shared" si="265"/>
        <v>0</v>
      </c>
      <c r="T1526" s="10">
        <f t="shared" si="266"/>
        <v>0</v>
      </c>
      <c r="U1526" s="10"/>
    </row>
    <row r="1527" spans="1:25">
      <c r="A1527" s="6"/>
      <c r="B1527" s="11"/>
      <c r="C1527" s="7"/>
      <c r="D1527" s="7"/>
      <c r="E1527" s="7"/>
      <c r="F1527" s="7">
        <f t="shared" si="272"/>
        <v>0</v>
      </c>
      <c r="G1527" s="8"/>
      <c r="H1527" s="7">
        <f t="shared" si="269"/>
        <v>0</v>
      </c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9">
        <f t="shared" si="265"/>
        <v>0</v>
      </c>
      <c r="T1527" s="10">
        <f t="shared" si="266"/>
        <v>0</v>
      </c>
      <c r="U1527" s="10"/>
    </row>
    <row r="1528" spans="1:25">
      <c r="A1528" s="6"/>
      <c r="B1528" s="11"/>
      <c r="C1528" s="7"/>
      <c r="D1528" s="7"/>
      <c r="E1528" s="7"/>
      <c r="F1528" s="7">
        <f t="shared" si="272"/>
        <v>0</v>
      </c>
      <c r="G1528" s="8"/>
      <c r="H1528" s="7">
        <f t="shared" si="269"/>
        <v>0</v>
      </c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9">
        <f t="shared" si="265"/>
        <v>0</v>
      </c>
      <c r="T1528" s="10">
        <f t="shared" si="266"/>
        <v>0</v>
      </c>
      <c r="U1528" s="10"/>
    </row>
    <row r="1529" spans="1:25">
      <c r="A1529" s="6"/>
      <c r="B1529" s="11"/>
      <c r="C1529" s="7"/>
      <c r="D1529" s="7"/>
      <c r="E1529" s="7"/>
      <c r="F1529" s="7">
        <f t="shared" si="272"/>
        <v>0</v>
      </c>
      <c r="G1529" s="8"/>
      <c r="H1529" s="7">
        <f t="shared" si="269"/>
        <v>0</v>
      </c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9">
        <f t="shared" si="265"/>
        <v>0</v>
      </c>
      <c r="T1529" s="10">
        <f t="shared" si="266"/>
        <v>0</v>
      </c>
      <c r="U1529" s="10"/>
    </row>
    <row r="1530" spans="1:25">
      <c r="A1530" s="6"/>
      <c r="B1530" s="11"/>
      <c r="C1530" s="7"/>
      <c r="D1530" s="7"/>
      <c r="E1530" s="7"/>
      <c r="F1530" s="7">
        <f t="shared" si="272"/>
        <v>0</v>
      </c>
      <c r="G1530" s="8"/>
      <c r="H1530" s="7">
        <f t="shared" si="269"/>
        <v>0</v>
      </c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9">
        <f t="shared" si="265"/>
        <v>0</v>
      </c>
      <c r="T1530" s="10">
        <f t="shared" si="266"/>
        <v>0</v>
      </c>
      <c r="U1530" s="10"/>
    </row>
    <row r="1531" spans="1:25">
      <c r="A1531" s="6"/>
      <c r="B1531" s="11"/>
      <c r="C1531" s="7"/>
      <c r="D1531" s="7"/>
      <c r="E1531" s="7"/>
      <c r="F1531" s="7">
        <f t="shared" si="272"/>
        <v>0</v>
      </c>
      <c r="G1531" s="8"/>
      <c r="H1531" s="7">
        <f t="shared" si="269"/>
        <v>0</v>
      </c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9">
        <f t="shared" ref="S1531:S1541" si="273">F1531+G1531-J1531-K1531-L1531+M1531+O1531-P1531-R1531</f>
        <v>0</v>
      </c>
      <c r="T1531" s="10">
        <f t="shared" ref="T1531:T1541" si="274">H1531+I1531+N1531+R1531-Q1531</f>
        <v>0</v>
      </c>
      <c r="U1531" s="10"/>
      <c r="V1531">
        <f>X1531*0.1</f>
        <v>0</v>
      </c>
      <c r="W1531">
        <f>E1531*S1531*1.5</f>
        <v>0</v>
      </c>
      <c r="X1531">
        <f>J1531+K1531</f>
        <v>0</v>
      </c>
      <c r="Y1531">
        <f>X1531*0.13</f>
        <v>0</v>
      </c>
    </row>
    <row r="1532" spans="1:25">
      <c r="A1532" s="6">
        <v>46161</v>
      </c>
      <c r="B1532" t="s">
        <v>25</v>
      </c>
      <c r="C1532" s="7" t="s">
        <v>26</v>
      </c>
      <c r="D1532" s="7"/>
      <c r="E1532" s="7"/>
      <c r="F1532" s="7">
        <f t="shared" ref="F1531:F1543" si="275">S1447</f>
        <v>1168</v>
      </c>
      <c r="G1532" s="8"/>
      <c r="H1532" s="7">
        <f t="shared" si="269"/>
        <v>0</v>
      </c>
      <c r="I1532" s="7"/>
      <c r="J1532" s="7">
        <v>120</v>
      </c>
      <c r="K1532" s="7"/>
      <c r="L1532" s="7"/>
      <c r="M1532" s="7"/>
      <c r="N1532" s="7"/>
      <c r="O1532" s="7"/>
      <c r="P1532" s="7"/>
      <c r="Q1532" s="7"/>
      <c r="R1532" s="7"/>
      <c r="S1532" s="9">
        <f t="shared" si="273"/>
        <v>1048</v>
      </c>
      <c r="T1532" s="10">
        <f t="shared" si="274"/>
        <v>0</v>
      </c>
      <c r="U1532" s="10"/>
      <c r="V1532">
        <f t="shared" ref="V1532:V1538" si="276">X1532*0.1</f>
        <v>12</v>
      </c>
      <c r="W1532">
        <f t="shared" ref="W1532:W1538" si="277">E1532*S1532*1.5</f>
        <v>0</v>
      </c>
      <c r="X1532">
        <f t="shared" ref="X1532:X1538" si="278">J1532+K1532</f>
        <v>120</v>
      </c>
      <c r="Y1532">
        <f t="shared" ref="Y1532:Y1538" si="279">X1532*0.13</f>
        <v>15.6</v>
      </c>
    </row>
    <row r="1533" spans="1:25">
      <c r="A1533" s="6"/>
      <c r="B1533" t="s">
        <v>27</v>
      </c>
      <c r="C1533" s="7" t="s">
        <v>26</v>
      </c>
      <c r="D1533" s="7"/>
      <c r="E1533" s="7"/>
      <c r="F1533" s="7">
        <f t="shared" si="275"/>
        <v>681</v>
      </c>
      <c r="G1533" s="16"/>
      <c r="H1533" s="7">
        <f t="shared" si="269"/>
        <v>0</v>
      </c>
      <c r="I1533" s="7"/>
      <c r="J1533" s="7"/>
      <c r="K1533" s="7"/>
      <c r="L1533" s="7"/>
      <c r="M1533" s="7"/>
      <c r="N1533" s="7"/>
      <c r="O1533" s="7"/>
      <c r="P1533" s="7"/>
      <c r="Q1533" s="17"/>
      <c r="R1533" s="7"/>
      <c r="S1533" s="9">
        <f t="shared" si="273"/>
        <v>681</v>
      </c>
      <c r="T1533" s="10">
        <f t="shared" si="274"/>
        <v>0</v>
      </c>
      <c r="U1533" s="10"/>
      <c r="V1533">
        <f t="shared" si="276"/>
        <v>0</v>
      </c>
      <c r="W1533">
        <f t="shared" si="277"/>
        <v>0</v>
      </c>
      <c r="X1533">
        <f t="shared" si="278"/>
        <v>0</v>
      </c>
      <c r="Y1533">
        <f t="shared" si="279"/>
        <v>0</v>
      </c>
    </row>
    <row r="1534" spans="1:25">
      <c r="A1534" s="6"/>
      <c r="B1534" s="6" t="s">
        <v>28</v>
      </c>
      <c r="C1534" s="7" t="s">
        <v>26</v>
      </c>
      <c r="D1534" s="7"/>
      <c r="E1534" s="7"/>
      <c r="F1534" s="7">
        <f t="shared" si="275"/>
        <v>686</v>
      </c>
      <c r="G1534" s="8">
        <v>680</v>
      </c>
      <c r="H1534" s="7">
        <f t="shared" si="269"/>
        <v>0</v>
      </c>
      <c r="I1534" s="7"/>
      <c r="J1534" s="7">
        <v>120</v>
      </c>
      <c r="K1534" s="7"/>
      <c r="L1534" s="7"/>
      <c r="M1534" s="7"/>
      <c r="N1534" s="7"/>
      <c r="O1534" s="7"/>
      <c r="P1534" s="7"/>
      <c r="Q1534" s="7"/>
      <c r="R1534" s="7"/>
      <c r="S1534" s="9">
        <f t="shared" si="273"/>
        <v>1246</v>
      </c>
      <c r="T1534" s="10">
        <f t="shared" si="274"/>
        <v>0</v>
      </c>
      <c r="U1534" s="10"/>
      <c r="V1534">
        <f t="shared" si="276"/>
        <v>12</v>
      </c>
      <c r="W1534">
        <f t="shared" si="277"/>
        <v>0</v>
      </c>
      <c r="X1534">
        <f t="shared" si="278"/>
        <v>120</v>
      </c>
      <c r="Y1534">
        <f t="shared" si="279"/>
        <v>15.6</v>
      </c>
    </row>
    <row r="1535" spans="1:25">
      <c r="A1535" s="6"/>
      <c r="B1535" s="6" t="s">
        <v>29</v>
      </c>
      <c r="C1535" s="7" t="s">
        <v>26</v>
      </c>
      <c r="D1535" s="7"/>
      <c r="E1535" s="7"/>
      <c r="F1535" s="7">
        <f t="shared" si="275"/>
        <v>270</v>
      </c>
      <c r="G1535" s="8"/>
      <c r="H1535" s="7">
        <f t="shared" si="269"/>
        <v>0</v>
      </c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9">
        <f t="shared" si="273"/>
        <v>270</v>
      </c>
      <c r="T1535" s="10">
        <f t="shared" si="274"/>
        <v>0</v>
      </c>
      <c r="U1535" s="10"/>
      <c r="V1535">
        <f t="shared" si="276"/>
        <v>0</v>
      </c>
      <c r="W1535">
        <f t="shared" si="277"/>
        <v>0</v>
      </c>
      <c r="X1535">
        <f t="shared" si="278"/>
        <v>0</v>
      </c>
      <c r="Y1535">
        <f t="shared" si="279"/>
        <v>0</v>
      </c>
    </row>
    <row r="1536" spans="1:25">
      <c r="A1536" s="6"/>
      <c r="B1536" s="6" t="s">
        <v>30</v>
      </c>
      <c r="C1536" s="7" t="s">
        <v>26</v>
      </c>
      <c r="D1536" s="7"/>
      <c r="E1536" s="7"/>
      <c r="F1536" s="7">
        <f t="shared" si="275"/>
        <v>2529</v>
      </c>
      <c r="G1536" s="8"/>
      <c r="H1536" s="7">
        <f t="shared" si="269"/>
        <v>0</v>
      </c>
      <c r="I1536" s="7"/>
      <c r="J1536" s="7">
        <v>120</v>
      </c>
      <c r="K1536" s="7"/>
      <c r="L1536" s="7"/>
      <c r="M1536" s="7"/>
      <c r="N1536" s="7"/>
      <c r="O1536" s="7"/>
      <c r="P1536" s="7"/>
      <c r="Q1536" s="7"/>
      <c r="R1536" s="7"/>
      <c r="S1536" s="9">
        <f t="shared" si="273"/>
        <v>2409</v>
      </c>
      <c r="T1536" s="10">
        <f t="shared" si="274"/>
        <v>0</v>
      </c>
      <c r="U1536" s="10"/>
      <c r="V1536">
        <f t="shared" si="276"/>
        <v>12</v>
      </c>
      <c r="W1536">
        <f t="shared" si="277"/>
        <v>0</v>
      </c>
      <c r="X1536">
        <f t="shared" si="278"/>
        <v>120</v>
      </c>
      <c r="Y1536">
        <f t="shared" si="279"/>
        <v>15.6</v>
      </c>
    </row>
    <row r="1537" spans="1:25">
      <c r="A1537" s="6"/>
      <c r="B1537" s="6" t="s">
        <v>31</v>
      </c>
      <c r="C1537" s="7" t="s">
        <v>26</v>
      </c>
      <c r="D1537" s="7"/>
      <c r="E1537" s="7"/>
      <c r="F1537" s="7">
        <f t="shared" si="275"/>
        <v>1583</v>
      </c>
      <c r="G1537" s="8"/>
      <c r="H1537" s="7">
        <f t="shared" si="269"/>
        <v>0</v>
      </c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9">
        <f t="shared" si="273"/>
        <v>1583</v>
      </c>
      <c r="T1537" s="10">
        <f t="shared" si="274"/>
        <v>0</v>
      </c>
      <c r="U1537" s="10"/>
      <c r="V1537">
        <f t="shared" si="276"/>
        <v>0</v>
      </c>
      <c r="W1537">
        <f t="shared" si="277"/>
        <v>0</v>
      </c>
      <c r="X1537">
        <f t="shared" si="278"/>
        <v>0</v>
      </c>
      <c r="Y1537">
        <f t="shared" si="279"/>
        <v>0</v>
      </c>
    </row>
    <row r="1538" spans="1:25">
      <c r="A1538" s="6"/>
      <c r="B1538" s="6" t="s">
        <v>32</v>
      </c>
      <c r="C1538" s="7" t="s">
        <v>26</v>
      </c>
      <c r="D1538" s="7"/>
      <c r="E1538" s="7"/>
      <c r="F1538" s="7">
        <f t="shared" si="275"/>
        <v>476</v>
      </c>
      <c r="G1538" s="8">
        <v>1200</v>
      </c>
      <c r="H1538" s="7">
        <f t="shared" si="269"/>
        <v>0</v>
      </c>
      <c r="I1538" s="7"/>
      <c r="J1538" s="7">
        <v>240</v>
      </c>
      <c r="K1538" s="7"/>
      <c r="L1538" s="7">
        <v>75</v>
      </c>
      <c r="M1538" s="7"/>
      <c r="N1538" s="7"/>
      <c r="O1538" s="7"/>
      <c r="P1538" s="7"/>
      <c r="Q1538" s="7"/>
      <c r="R1538" s="7"/>
      <c r="S1538" s="9">
        <f t="shared" si="273"/>
        <v>1361</v>
      </c>
      <c r="T1538" s="10">
        <f t="shared" si="274"/>
        <v>0</v>
      </c>
      <c r="U1538" s="10"/>
      <c r="V1538">
        <f t="shared" si="276"/>
        <v>24</v>
      </c>
      <c r="W1538">
        <f t="shared" si="277"/>
        <v>0</v>
      </c>
      <c r="X1538">
        <f t="shared" si="278"/>
        <v>240</v>
      </c>
      <c r="Y1538">
        <f t="shared" si="279"/>
        <v>31.2</v>
      </c>
    </row>
    <row r="1539" spans="1:25">
      <c r="A1539" s="6"/>
      <c r="B1539" s="6" t="s">
        <v>33</v>
      </c>
      <c r="C1539" s="7" t="s">
        <v>26</v>
      </c>
      <c r="D1539" s="7"/>
      <c r="E1539" s="7"/>
      <c r="F1539" s="7">
        <f t="shared" si="275"/>
        <v>1638</v>
      </c>
      <c r="G1539" s="8"/>
      <c r="H1539" s="7">
        <f t="shared" si="269"/>
        <v>0</v>
      </c>
      <c r="I1539" s="7"/>
      <c r="J1539" s="7"/>
      <c r="K1539" s="7"/>
      <c r="L1539" s="7"/>
      <c r="M1539" s="7">
        <v>24</v>
      </c>
      <c r="N1539" s="7"/>
      <c r="O1539" s="7"/>
      <c r="P1539" s="7"/>
      <c r="Q1539" s="7"/>
      <c r="R1539" s="7"/>
      <c r="S1539" s="9">
        <f t="shared" si="273"/>
        <v>1662</v>
      </c>
      <c r="T1539" s="10">
        <f t="shared" si="274"/>
        <v>0</v>
      </c>
      <c r="U1539" s="10"/>
    </row>
    <row r="1540" spans="1:25">
      <c r="A1540" s="6"/>
      <c r="B1540" s="11" t="s">
        <v>34</v>
      </c>
      <c r="C1540" s="7" t="s">
        <v>26</v>
      </c>
      <c r="D1540" s="7"/>
      <c r="E1540" s="7"/>
      <c r="F1540" s="7">
        <f t="shared" si="275"/>
        <v>17</v>
      </c>
      <c r="G1540" s="8"/>
      <c r="H1540" s="7">
        <f t="shared" si="269"/>
        <v>0</v>
      </c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9">
        <f t="shared" si="273"/>
        <v>17</v>
      </c>
      <c r="T1540" s="10">
        <f t="shared" si="274"/>
        <v>0</v>
      </c>
      <c r="U1540" s="10"/>
    </row>
    <row r="1541" spans="1:25">
      <c r="A1541" s="6"/>
      <c r="B1541" s="11" t="s">
        <v>35</v>
      </c>
      <c r="C1541" s="7" t="s">
        <v>26</v>
      </c>
      <c r="D1541" s="7"/>
      <c r="E1541" s="7"/>
      <c r="F1541" s="7">
        <f t="shared" si="275"/>
        <v>120</v>
      </c>
      <c r="G1541" s="8"/>
      <c r="H1541" s="7">
        <f t="shared" si="269"/>
        <v>0</v>
      </c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9">
        <f t="shared" si="273"/>
        <v>120</v>
      </c>
      <c r="T1541" s="10">
        <f t="shared" si="274"/>
        <v>0</v>
      </c>
      <c r="U1541" s="10"/>
    </row>
    <row r="1542" spans="1:25">
      <c r="A1542" s="6"/>
      <c r="B1542" s="11" t="s">
        <v>36</v>
      </c>
      <c r="C1542" s="7" t="s">
        <v>26</v>
      </c>
      <c r="D1542" s="7"/>
      <c r="E1542" s="7"/>
      <c r="F1542" s="7">
        <f t="shared" si="275"/>
        <v>7262</v>
      </c>
      <c r="G1542" s="8"/>
      <c r="H1542" s="7">
        <f t="shared" si="269"/>
        <v>0</v>
      </c>
      <c r="I1542" s="7"/>
      <c r="J1542" s="7">
        <v>200</v>
      </c>
      <c r="K1542" s="7"/>
      <c r="L1542" s="7"/>
      <c r="M1542" s="7"/>
      <c r="N1542" s="7"/>
      <c r="O1542" s="7"/>
      <c r="P1542" s="7"/>
      <c r="Q1542" s="7"/>
      <c r="R1542" s="7"/>
      <c r="S1542" s="9">
        <f t="shared" ref="S1542:S1590" si="280">F1542+G1542-J1542-K1542-L1542+M1542+O1542-P1542-R1542</f>
        <v>7062</v>
      </c>
      <c r="T1542" s="10">
        <f t="shared" ref="T1542:T1590" si="281">H1542+I1542+N1542+R1542-Q1542</f>
        <v>0</v>
      </c>
      <c r="U1542" s="10"/>
    </row>
    <row r="1543" spans="1:25">
      <c r="A1543" s="6"/>
      <c r="B1543" s="11" t="s">
        <v>37</v>
      </c>
      <c r="C1543" s="7" t="s">
        <v>26</v>
      </c>
      <c r="D1543" s="7"/>
      <c r="E1543" s="7"/>
      <c r="F1543" s="7">
        <f t="shared" si="275"/>
        <v>1404</v>
      </c>
      <c r="G1543" s="8"/>
      <c r="H1543" s="7">
        <f t="shared" si="269"/>
        <v>0</v>
      </c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9">
        <f t="shared" si="280"/>
        <v>1404</v>
      </c>
      <c r="T1543" s="10">
        <f t="shared" si="281"/>
        <v>0</v>
      </c>
      <c r="U1543" s="10"/>
    </row>
    <row r="1544" spans="1:25">
      <c r="A1544" s="6"/>
      <c r="B1544" s="11" t="s">
        <v>38</v>
      </c>
      <c r="C1544" s="7" t="s">
        <v>26</v>
      </c>
      <c r="D1544" s="7"/>
      <c r="E1544" s="7"/>
      <c r="F1544" s="7">
        <f t="shared" ref="F1544:F1556" si="282">S1459</f>
        <v>0</v>
      </c>
      <c r="G1544" s="8"/>
      <c r="H1544" s="7">
        <f t="shared" si="269"/>
        <v>0</v>
      </c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9">
        <f t="shared" si="280"/>
        <v>0</v>
      </c>
      <c r="T1544" s="10">
        <f t="shared" si="281"/>
        <v>0</v>
      </c>
      <c r="U1544" s="10"/>
    </row>
    <row r="1545" spans="1:25">
      <c r="A1545" s="6"/>
      <c r="B1545" s="11" t="s">
        <v>39</v>
      </c>
      <c r="C1545" s="7" t="s">
        <v>26</v>
      </c>
      <c r="D1545" s="7"/>
      <c r="E1545" s="7"/>
      <c r="F1545" s="7">
        <f t="shared" si="282"/>
        <v>1856</v>
      </c>
      <c r="G1545" s="8"/>
      <c r="H1545" s="7">
        <f t="shared" si="269"/>
        <v>0</v>
      </c>
      <c r="I1545" s="7"/>
      <c r="J1545" s="7"/>
      <c r="K1545" s="7"/>
      <c r="L1545" s="7"/>
      <c r="M1545" s="7">
        <v>20</v>
      </c>
      <c r="N1545" s="7"/>
      <c r="O1545" s="7"/>
      <c r="P1545" s="7"/>
      <c r="Q1545" s="7"/>
      <c r="R1545" s="7"/>
      <c r="S1545" s="9">
        <f t="shared" si="280"/>
        <v>1876</v>
      </c>
      <c r="T1545" s="10">
        <f t="shared" si="281"/>
        <v>0</v>
      </c>
      <c r="U1545" s="10"/>
    </row>
    <row r="1546" spans="1:25">
      <c r="A1546" s="6"/>
      <c r="B1546" s="11" t="s">
        <v>40</v>
      </c>
      <c r="C1546" s="7" t="s">
        <v>41</v>
      </c>
      <c r="D1546" s="7"/>
      <c r="E1546" s="7"/>
      <c r="F1546" s="7">
        <f t="shared" si="282"/>
        <v>0</v>
      </c>
      <c r="G1546" s="8"/>
      <c r="H1546" s="7">
        <f t="shared" si="269"/>
        <v>0</v>
      </c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9">
        <f t="shared" si="280"/>
        <v>0</v>
      </c>
      <c r="T1546" s="10">
        <f t="shared" si="281"/>
        <v>0</v>
      </c>
      <c r="U1546" s="10"/>
    </row>
    <row r="1547" spans="1:25">
      <c r="A1547" s="6"/>
      <c r="B1547" s="11" t="s">
        <v>42</v>
      </c>
      <c r="C1547" s="7" t="s">
        <v>41</v>
      </c>
      <c r="D1547" s="7"/>
      <c r="E1547" s="7"/>
      <c r="F1547" s="7">
        <f t="shared" si="282"/>
        <v>53</v>
      </c>
      <c r="G1547" s="8"/>
      <c r="H1547" s="7">
        <f t="shared" si="269"/>
        <v>0</v>
      </c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9">
        <f t="shared" si="280"/>
        <v>53</v>
      </c>
      <c r="T1547" s="10">
        <f t="shared" si="281"/>
        <v>0</v>
      </c>
      <c r="U1547" s="10"/>
    </row>
    <row r="1548" spans="1:25">
      <c r="A1548" s="6"/>
      <c r="B1548" s="11" t="s">
        <v>43</v>
      </c>
      <c r="C1548" s="7" t="s">
        <v>41</v>
      </c>
      <c r="D1548" s="7"/>
      <c r="E1548" s="7"/>
      <c r="F1548" s="7">
        <f t="shared" si="282"/>
        <v>0</v>
      </c>
      <c r="G1548" s="8"/>
      <c r="H1548" s="7">
        <f t="shared" si="269"/>
        <v>0</v>
      </c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9">
        <f t="shared" si="280"/>
        <v>0</v>
      </c>
      <c r="T1548" s="10">
        <f t="shared" si="281"/>
        <v>0</v>
      </c>
      <c r="U1548" s="10"/>
    </row>
    <row r="1549" spans="1:25">
      <c r="A1549" s="6"/>
      <c r="B1549" s="11" t="s">
        <v>44</v>
      </c>
      <c r="C1549" s="7" t="s">
        <v>41</v>
      </c>
      <c r="D1549" s="7"/>
      <c r="E1549" s="7"/>
      <c r="F1549" s="7">
        <f t="shared" si="282"/>
        <v>75</v>
      </c>
      <c r="G1549" s="8"/>
      <c r="H1549" s="7">
        <f t="shared" si="269"/>
        <v>0</v>
      </c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9">
        <f t="shared" si="280"/>
        <v>75</v>
      </c>
      <c r="T1549" s="10">
        <f t="shared" si="281"/>
        <v>0</v>
      </c>
      <c r="U1549" s="10"/>
    </row>
    <row r="1550" spans="1:25">
      <c r="A1550" s="6"/>
      <c r="B1550" s="11" t="s">
        <v>45</v>
      </c>
      <c r="C1550" s="7" t="s">
        <v>41</v>
      </c>
      <c r="D1550" s="7"/>
      <c r="E1550" s="7"/>
      <c r="F1550" s="7">
        <f t="shared" si="282"/>
        <v>0</v>
      </c>
      <c r="G1550" s="8"/>
      <c r="H1550" s="7">
        <f t="shared" si="269"/>
        <v>0</v>
      </c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9">
        <f t="shared" si="280"/>
        <v>0</v>
      </c>
      <c r="T1550" s="10">
        <f t="shared" si="281"/>
        <v>0</v>
      </c>
      <c r="U1550" s="10"/>
    </row>
    <row r="1551" spans="1:25">
      <c r="A1551" s="6"/>
      <c r="B1551" s="11" t="s">
        <v>46</v>
      </c>
      <c r="C1551" s="7" t="s">
        <v>41</v>
      </c>
      <c r="D1551" s="7"/>
      <c r="E1551" s="7"/>
      <c r="F1551" s="7">
        <f t="shared" si="282"/>
        <v>17</v>
      </c>
      <c r="G1551" s="8"/>
      <c r="H1551" s="7">
        <f t="shared" si="269"/>
        <v>0</v>
      </c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9">
        <f t="shared" si="280"/>
        <v>17</v>
      </c>
      <c r="T1551" s="10">
        <f t="shared" si="281"/>
        <v>0</v>
      </c>
      <c r="U1551" s="10"/>
    </row>
    <row r="1552" spans="1:25">
      <c r="A1552" s="6"/>
      <c r="B1552" s="11" t="s">
        <v>47</v>
      </c>
      <c r="C1552" s="7" t="s">
        <v>26</v>
      </c>
      <c r="D1552" s="7"/>
      <c r="E1552" s="7"/>
      <c r="F1552" s="7">
        <f t="shared" si="282"/>
        <v>0</v>
      </c>
      <c r="G1552" s="8"/>
      <c r="H1552" s="7">
        <f t="shared" ref="H1552:H1615" si="283">T1467</f>
        <v>0</v>
      </c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9">
        <f t="shared" si="280"/>
        <v>0</v>
      </c>
      <c r="T1552" s="10">
        <f t="shared" si="281"/>
        <v>0</v>
      </c>
      <c r="U1552" s="10"/>
    </row>
    <row r="1553" spans="1:21">
      <c r="A1553" s="6"/>
      <c r="B1553" s="11" t="s">
        <v>48</v>
      </c>
      <c r="C1553" s="7" t="s">
        <v>26</v>
      </c>
      <c r="D1553" s="7"/>
      <c r="E1553" s="7"/>
      <c r="F1553" s="7">
        <f t="shared" si="282"/>
        <v>18742</v>
      </c>
      <c r="G1553" s="8"/>
      <c r="H1553" s="7">
        <f t="shared" si="283"/>
        <v>0</v>
      </c>
      <c r="I1553" s="7"/>
      <c r="J1553" s="7">
        <v>2400</v>
      </c>
      <c r="K1553" s="7">
        <v>420</v>
      </c>
      <c r="L1553" s="7"/>
      <c r="M1553" s="7"/>
      <c r="N1553" s="7"/>
      <c r="O1553" s="7"/>
      <c r="P1553" s="7"/>
      <c r="Q1553" s="7"/>
      <c r="R1553" s="7"/>
      <c r="S1553" s="9">
        <f t="shared" si="280"/>
        <v>15922</v>
      </c>
      <c r="T1553" s="10">
        <f t="shared" si="281"/>
        <v>0</v>
      </c>
      <c r="U1553" s="10" t="s">
        <v>122</v>
      </c>
    </row>
    <row r="1554" spans="1:21">
      <c r="A1554" s="6"/>
      <c r="B1554" s="11" t="s">
        <v>50</v>
      </c>
      <c r="C1554" s="7" t="s">
        <v>26</v>
      </c>
      <c r="D1554" s="7"/>
      <c r="E1554" s="7"/>
      <c r="F1554" s="7">
        <f t="shared" si="282"/>
        <v>0</v>
      </c>
      <c r="G1554" s="8"/>
      <c r="H1554" s="7">
        <f t="shared" si="283"/>
        <v>0</v>
      </c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9">
        <f t="shared" si="280"/>
        <v>0</v>
      </c>
      <c r="T1554" s="10">
        <f t="shared" si="281"/>
        <v>0</v>
      </c>
      <c r="U1554" s="10"/>
    </row>
    <row r="1555" spans="1:21">
      <c r="A1555" s="6"/>
      <c r="B1555" s="11" t="s">
        <v>51</v>
      </c>
      <c r="C1555" s="7" t="s">
        <v>26</v>
      </c>
      <c r="D1555" s="7"/>
      <c r="E1555" s="7"/>
      <c r="F1555" s="7">
        <f t="shared" si="282"/>
        <v>0</v>
      </c>
      <c r="G1555" s="8"/>
      <c r="H1555" s="7">
        <f t="shared" si="283"/>
        <v>0</v>
      </c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9">
        <f t="shared" si="280"/>
        <v>0</v>
      </c>
      <c r="T1555" s="10">
        <f t="shared" si="281"/>
        <v>0</v>
      </c>
      <c r="U1555" s="10"/>
    </row>
    <row r="1556" spans="1:21">
      <c r="A1556" s="6"/>
      <c r="B1556" s="11" t="s">
        <v>52</v>
      </c>
      <c r="C1556" s="7" t="s">
        <v>26</v>
      </c>
      <c r="D1556" s="7"/>
      <c r="E1556" s="7"/>
      <c r="F1556" s="7">
        <f t="shared" si="282"/>
        <v>3237</v>
      </c>
      <c r="G1556" s="8"/>
      <c r="H1556" s="7">
        <f t="shared" si="283"/>
        <v>0</v>
      </c>
      <c r="I1556" s="7"/>
      <c r="J1556" s="7">
        <v>960</v>
      </c>
      <c r="K1556" s="7"/>
      <c r="L1556" s="7"/>
      <c r="M1556" s="7"/>
      <c r="N1556" s="7"/>
      <c r="O1556" s="7"/>
      <c r="P1556" s="7"/>
      <c r="Q1556" s="7"/>
      <c r="R1556" s="7"/>
      <c r="S1556" s="9">
        <f t="shared" si="280"/>
        <v>2277</v>
      </c>
      <c r="T1556" s="10">
        <f t="shared" si="281"/>
        <v>0</v>
      </c>
      <c r="U1556" s="10"/>
    </row>
    <row r="1557" spans="1:21">
      <c r="A1557" s="6"/>
      <c r="B1557" s="11" t="s">
        <v>53</v>
      </c>
      <c r="C1557" s="7" t="s">
        <v>54</v>
      </c>
      <c r="D1557" s="7"/>
      <c r="E1557" s="7"/>
      <c r="F1557" s="7">
        <f t="shared" ref="F1557:F1575" si="284">S1472</f>
        <v>0</v>
      </c>
      <c r="G1557" s="8"/>
      <c r="H1557" s="7">
        <f t="shared" si="283"/>
        <v>0</v>
      </c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9">
        <f t="shared" si="280"/>
        <v>0</v>
      </c>
      <c r="T1557" s="10">
        <f t="shared" si="281"/>
        <v>0</v>
      </c>
      <c r="U1557" s="10"/>
    </row>
    <row r="1558" spans="1:21">
      <c r="A1558" s="6"/>
      <c r="B1558" s="11" t="s">
        <v>55</v>
      </c>
      <c r="C1558" s="7" t="s">
        <v>54</v>
      </c>
      <c r="D1558" s="7"/>
      <c r="E1558" s="7"/>
      <c r="F1558" s="7">
        <f t="shared" si="284"/>
        <v>15</v>
      </c>
      <c r="G1558" s="8"/>
      <c r="H1558" s="7">
        <f t="shared" si="283"/>
        <v>0</v>
      </c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9">
        <f t="shared" si="280"/>
        <v>15</v>
      </c>
      <c r="T1558" s="10">
        <f t="shared" si="281"/>
        <v>0</v>
      </c>
      <c r="U1558" s="10"/>
    </row>
    <row r="1559" spans="1:21">
      <c r="A1559" s="6"/>
      <c r="B1559" s="11" t="s">
        <v>56</v>
      </c>
      <c r="C1559" s="7" t="s">
        <v>54</v>
      </c>
      <c r="D1559" s="7"/>
      <c r="E1559" s="7"/>
      <c r="F1559" s="7">
        <f t="shared" si="284"/>
        <v>1673</v>
      </c>
      <c r="G1559" s="8"/>
      <c r="H1559" s="7">
        <f t="shared" si="283"/>
        <v>0</v>
      </c>
      <c r="I1559" s="7"/>
      <c r="J1559" s="7">
        <v>180</v>
      </c>
      <c r="K1559" s="7"/>
      <c r="L1559" s="7"/>
      <c r="M1559" s="7"/>
      <c r="N1559" s="7"/>
      <c r="O1559" s="7"/>
      <c r="P1559" s="7"/>
      <c r="Q1559" s="7"/>
      <c r="R1559" s="7"/>
      <c r="S1559" s="9">
        <f t="shared" si="280"/>
        <v>1493</v>
      </c>
      <c r="T1559" s="10">
        <f t="shared" si="281"/>
        <v>0</v>
      </c>
      <c r="U1559" s="10"/>
    </row>
    <row r="1560" spans="1:21">
      <c r="A1560" s="6"/>
      <c r="B1560" s="11" t="s">
        <v>57</v>
      </c>
      <c r="C1560" s="7" t="s">
        <v>54</v>
      </c>
      <c r="D1560" s="7"/>
      <c r="E1560" s="7"/>
      <c r="F1560" s="7">
        <f t="shared" si="284"/>
        <v>33</v>
      </c>
      <c r="G1560" s="8"/>
      <c r="H1560" s="7">
        <f t="shared" si="283"/>
        <v>0</v>
      </c>
      <c r="I1560" s="7"/>
      <c r="J1560" s="7"/>
      <c r="K1560" s="7"/>
      <c r="L1560" s="7"/>
      <c r="M1560" s="7">
        <v>36</v>
      </c>
      <c r="N1560" s="7"/>
      <c r="O1560" s="7">
        <v>60</v>
      </c>
      <c r="P1560" s="7"/>
      <c r="Q1560" s="7"/>
      <c r="R1560" s="7"/>
      <c r="S1560" s="9">
        <f t="shared" si="280"/>
        <v>129</v>
      </c>
      <c r="T1560" s="10">
        <f t="shared" si="281"/>
        <v>0</v>
      </c>
      <c r="U1560" s="10"/>
    </row>
    <row r="1561" spans="1:21">
      <c r="A1561" s="6"/>
      <c r="B1561" s="11" t="s">
        <v>58</v>
      </c>
      <c r="C1561" s="7" t="s">
        <v>54</v>
      </c>
      <c r="D1561" s="7"/>
      <c r="E1561" s="7"/>
      <c r="F1561" s="7">
        <f t="shared" si="284"/>
        <v>0</v>
      </c>
      <c r="G1561" s="8"/>
      <c r="H1561" s="7">
        <f t="shared" si="283"/>
        <v>0</v>
      </c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9">
        <f t="shared" si="280"/>
        <v>0</v>
      </c>
      <c r="T1561" s="10">
        <f t="shared" si="281"/>
        <v>0</v>
      </c>
      <c r="U1561" s="10"/>
    </row>
    <row r="1562" spans="1:21">
      <c r="A1562" s="6"/>
      <c r="B1562" s="11" t="s">
        <v>59</v>
      </c>
      <c r="C1562" s="7" t="s">
        <v>54</v>
      </c>
      <c r="D1562" s="7"/>
      <c r="E1562" s="7"/>
      <c r="F1562" s="7">
        <f t="shared" si="284"/>
        <v>19</v>
      </c>
      <c r="G1562" s="8"/>
      <c r="H1562" s="7">
        <f t="shared" si="283"/>
        <v>0</v>
      </c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9">
        <f t="shared" si="280"/>
        <v>19</v>
      </c>
      <c r="T1562" s="10">
        <f t="shared" si="281"/>
        <v>0</v>
      </c>
      <c r="U1562" s="10"/>
    </row>
    <row r="1563" spans="1:21">
      <c r="A1563" s="6"/>
      <c r="B1563" s="11" t="s">
        <v>60</v>
      </c>
      <c r="C1563" s="7" t="s">
        <v>61</v>
      </c>
      <c r="D1563" s="7"/>
      <c r="E1563" s="7"/>
      <c r="F1563" s="7">
        <f t="shared" si="284"/>
        <v>0</v>
      </c>
      <c r="G1563" s="8"/>
      <c r="H1563" s="7">
        <f t="shared" si="283"/>
        <v>0</v>
      </c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9">
        <f t="shared" si="280"/>
        <v>0</v>
      </c>
      <c r="T1563" s="10">
        <f t="shared" si="281"/>
        <v>0</v>
      </c>
      <c r="U1563" s="10"/>
    </row>
    <row r="1564" spans="1:21">
      <c r="A1564" s="6"/>
      <c r="B1564" s="11" t="s">
        <v>62</v>
      </c>
      <c r="C1564" s="7" t="s">
        <v>61</v>
      </c>
      <c r="D1564" s="7"/>
      <c r="E1564" s="7"/>
      <c r="F1564" s="7">
        <f t="shared" si="284"/>
        <v>11</v>
      </c>
      <c r="G1564" s="8"/>
      <c r="H1564" s="7">
        <f t="shared" si="283"/>
        <v>0</v>
      </c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9">
        <f t="shared" si="280"/>
        <v>11</v>
      </c>
      <c r="T1564" s="10">
        <f t="shared" si="281"/>
        <v>0</v>
      </c>
      <c r="U1564" s="10"/>
    </row>
    <row r="1565" spans="1:21">
      <c r="A1565" s="6"/>
      <c r="B1565" s="10" t="s">
        <v>63</v>
      </c>
      <c r="C1565" s="10" t="s">
        <v>41</v>
      </c>
      <c r="D1565" s="7"/>
      <c r="E1565" s="7"/>
      <c r="F1565" s="7">
        <f t="shared" si="284"/>
        <v>0</v>
      </c>
      <c r="G1565" s="8"/>
      <c r="H1565" s="7">
        <f t="shared" si="283"/>
        <v>0</v>
      </c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9">
        <f t="shared" si="280"/>
        <v>0</v>
      </c>
      <c r="T1565" s="10">
        <f t="shared" si="281"/>
        <v>0</v>
      </c>
      <c r="U1565" s="10"/>
    </row>
    <row r="1566" spans="1:21">
      <c r="A1566" s="6"/>
      <c r="B1566" s="10" t="s">
        <v>64</v>
      </c>
      <c r="C1566" s="10" t="s">
        <v>41</v>
      </c>
      <c r="D1566" s="7"/>
      <c r="E1566" s="7"/>
      <c r="F1566" s="7">
        <f t="shared" si="284"/>
        <v>5</v>
      </c>
      <c r="G1566" s="8"/>
      <c r="H1566" s="7">
        <f t="shared" si="283"/>
        <v>0</v>
      </c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9">
        <f t="shared" si="280"/>
        <v>5</v>
      </c>
      <c r="T1566" s="10">
        <f t="shared" si="281"/>
        <v>0</v>
      </c>
      <c r="U1566" s="10"/>
    </row>
    <row r="1567" spans="1:21">
      <c r="A1567" s="6"/>
      <c r="B1567" s="11" t="s">
        <v>65</v>
      </c>
      <c r="C1567" s="7" t="s">
        <v>26</v>
      </c>
      <c r="D1567" s="7"/>
      <c r="E1567" s="7"/>
      <c r="F1567" s="7">
        <f t="shared" si="284"/>
        <v>0</v>
      </c>
      <c r="G1567" s="8"/>
      <c r="H1567" s="7">
        <f t="shared" si="283"/>
        <v>0</v>
      </c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9">
        <f t="shared" si="280"/>
        <v>0</v>
      </c>
      <c r="T1567" s="10">
        <f t="shared" si="281"/>
        <v>0</v>
      </c>
      <c r="U1567" s="10"/>
    </row>
    <row r="1568" spans="1:21">
      <c r="A1568" s="6"/>
      <c r="B1568" s="11" t="s">
        <v>66</v>
      </c>
      <c r="C1568" s="7" t="s">
        <v>26</v>
      </c>
      <c r="D1568" s="7"/>
      <c r="E1568" s="7"/>
      <c r="F1568" s="7">
        <f t="shared" si="284"/>
        <v>71</v>
      </c>
      <c r="G1568" s="8"/>
      <c r="H1568" s="7">
        <f t="shared" si="283"/>
        <v>0</v>
      </c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9">
        <f t="shared" si="280"/>
        <v>71</v>
      </c>
      <c r="T1568" s="10">
        <f t="shared" si="281"/>
        <v>0</v>
      </c>
      <c r="U1568" s="10"/>
    </row>
    <row r="1569" spans="1:21">
      <c r="A1569" s="6"/>
      <c r="B1569" s="11" t="s">
        <v>67</v>
      </c>
      <c r="C1569" s="7" t="s">
        <v>26</v>
      </c>
      <c r="D1569" s="7"/>
      <c r="E1569" s="7"/>
      <c r="F1569" s="7">
        <f t="shared" si="284"/>
        <v>0</v>
      </c>
      <c r="G1569" s="8"/>
      <c r="H1569" s="7">
        <f t="shared" si="283"/>
        <v>0</v>
      </c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9">
        <f t="shared" si="280"/>
        <v>0</v>
      </c>
      <c r="T1569" s="10">
        <f t="shared" si="281"/>
        <v>0</v>
      </c>
      <c r="U1569" s="10"/>
    </row>
    <row r="1570" spans="1:21">
      <c r="A1570" s="6"/>
      <c r="B1570" s="11" t="s">
        <v>68</v>
      </c>
      <c r="C1570" s="7" t="s">
        <v>26</v>
      </c>
      <c r="D1570" s="7"/>
      <c r="E1570" s="7"/>
      <c r="F1570" s="7">
        <f t="shared" si="284"/>
        <v>7</v>
      </c>
      <c r="G1570" s="8"/>
      <c r="H1570" s="7">
        <f t="shared" si="283"/>
        <v>0</v>
      </c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9">
        <f t="shared" si="280"/>
        <v>7</v>
      </c>
      <c r="T1570" s="10">
        <f t="shared" si="281"/>
        <v>0</v>
      </c>
      <c r="U1570" s="10"/>
    </row>
    <row r="1571" spans="1:21">
      <c r="A1571" s="6"/>
      <c r="B1571" s="11" t="s">
        <v>69</v>
      </c>
      <c r="C1571" s="7" t="s">
        <v>41</v>
      </c>
      <c r="D1571" s="7"/>
      <c r="E1571" s="7"/>
      <c r="F1571" s="7">
        <f t="shared" ref="F1571:F1585" si="285">S1486</f>
        <v>0</v>
      </c>
      <c r="G1571" s="8"/>
      <c r="H1571" s="7">
        <f t="shared" si="283"/>
        <v>0</v>
      </c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9">
        <f t="shared" si="280"/>
        <v>0</v>
      </c>
      <c r="T1571" s="10">
        <f t="shared" si="281"/>
        <v>0</v>
      </c>
      <c r="U1571" s="10"/>
    </row>
    <row r="1572" spans="1:21">
      <c r="A1572" s="6"/>
      <c r="B1572" s="11" t="s">
        <v>70</v>
      </c>
      <c r="C1572" s="7" t="s">
        <v>41</v>
      </c>
      <c r="D1572" s="7"/>
      <c r="E1572" s="7"/>
      <c r="F1572" s="7">
        <f t="shared" si="285"/>
        <v>13</v>
      </c>
      <c r="G1572" s="8"/>
      <c r="H1572" s="7">
        <f t="shared" si="283"/>
        <v>0</v>
      </c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9">
        <f t="shared" si="280"/>
        <v>13</v>
      </c>
      <c r="T1572" s="10">
        <f t="shared" si="281"/>
        <v>0</v>
      </c>
      <c r="U1572" s="10"/>
    </row>
    <row r="1573" spans="1:21">
      <c r="A1573" s="6"/>
      <c r="B1573" s="11" t="s">
        <v>71</v>
      </c>
      <c r="C1573" s="7" t="s">
        <v>61</v>
      </c>
      <c r="D1573" s="7"/>
      <c r="E1573" s="7"/>
      <c r="F1573" s="7">
        <f t="shared" si="285"/>
        <v>0</v>
      </c>
      <c r="G1573" s="8"/>
      <c r="H1573" s="7">
        <f t="shared" si="283"/>
        <v>0</v>
      </c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9">
        <f t="shared" si="280"/>
        <v>0</v>
      </c>
      <c r="T1573" s="10">
        <f t="shared" si="281"/>
        <v>0</v>
      </c>
      <c r="U1573" s="10"/>
    </row>
    <row r="1574" spans="1:21">
      <c r="A1574" s="6"/>
      <c r="B1574" s="11" t="s">
        <v>72</v>
      </c>
      <c r="C1574" s="7" t="s">
        <v>61</v>
      </c>
      <c r="D1574" s="7"/>
      <c r="E1574" s="7"/>
      <c r="F1574" s="7">
        <f t="shared" si="285"/>
        <v>8</v>
      </c>
      <c r="G1574" s="8"/>
      <c r="H1574" s="7">
        <f t="shared" si="283"/>
        <v>0</v>
      </c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9">
        <f t="shared" si="280"/>
        <v>8</v>
      </c>
      <c r="T1574" s="10">
        <f t="shared" si="281"/>
        <v>0</v>
      </c>
      <c r="U1574" s="10"/>
    </row>
    <row r="1575" spans="1:21">
      <c r="A1575" s="6"/>
      <c r="B1575" s="11" t="s">
        <v>73</v>
      </c>
      <c r="C1575" s="7" t="s">
        <v>26</v>
      </c>
      <c r="D1575" s="7"/>
      <c r="E1575" s="7"/>
      <c r="F1575" s="7">
        <f t="shared" si="285"/>
        <v>0</v>
      </c>
      <c r="G1575" s="8"/>
      <c r="H1575" s="7">
        <f t="shared" si="283"/>
        <v>0</v>
      </c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9">
        <f t="shared" si="280"/>
        <v>0</v>
      </c>
      <c r="T1575" s="10">
        <f t="shared" si="281"/>
        <v>0</v>
      </c>
      <c r="U1575" s="10"/>
    </row>
    <row r="1576" spans="1:21">
      <c r="A1576" s="6"/>
      <c r="B1576" s="11" t="s">
        <v>74</v>
      </c>
      <c r="C1576" s="7" t="s">
        <v>26</v>
      </c>
      <c r="D1576" s="7"/>
      <c r="E1576" s="7"/>
      <c r="F1576" s="7">
        <f t="shared" si="285"/>
        <v>22</v>
      </c>
      <c r="G1576" s="8"/>
      <c r="H1576" s="7">
        <f t="shared" si="283"/>
        <v>0</v>
      </c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9">
        <f t="shared" si="280"/>
        <v>22</v>
      </c>
      <c r="T1576" s="10">
        <f t="shared" si="281"/>
        <v>0</v>
      </c>
      <c r="U1576" s="10"/>
    </row>
    <row r="1577" spans="1:21">
      <c r="A1577" s="6"/>
      <c r="B1577" s="11" t="s">
        <v>75</v>
      </c>
      <c r="C1577" s="7" t="s">
        <v>26</v>
      </c>
      <c r="D1577" s="7"/>
      <c r="E1577" s="7"/>
      <c r="F1577" s="7">
        <f t="shared" si="285"/>
        <v>0</v>
      </c>
      <c r="G1577" s="8"/>
      <c r="H1577" s="7">
        <f t="shared" si="283"/>
        <v>0</v>
      </c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9">
        <f t="shared" si="280"/>
        <v>0</v>
      </c>
      <c r="T1577" s="10">
        <f t="shared" si="281"/>
        <v>0</v>
      </c>
      <c r="U1577" s="10"/>
    </row>
    <row r="1578" spans="1:21">
      <c r="A1578" s="6"/>
      <c r="B1578" s="11" t="s">
        <v>76</v>
      </c>
      <c r="C1578" s="7" t="s">
        <v>26</v>
      </c>
      <c r="D1578" s="7"/>
      <c r="E1578" s="7"/>
      <c r="F1578" s="7">
        <f t="shared" si="285"/>
        <v>20</v>
      </c>
      <c r="G1578" s="8"/>
      <c r="H1578" s="7">
        <f t="shared" si="283"/>
        <v>0</v>
      </c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9">
        <f t="shared" si="280"/>
        <v>20</v>
      </c>
      <c r="T1578" s="10">
        <f t="shared" si="281"/>
        <v>0</v>
      </c>
      <c r="U1578" s="10"/>
    </row>
    <row r="1579" spans="1:21">
      <c r="A1579" s="6"/>
      <c r="B1579" s="11" t="s">
        <v>77</v>
      </c>
      <c r="C1579" s="7" t="s">
        <v>61</v>
      </c>
      <c r="D1579" s="7"/>
      <c r="E1579" s="7"/>
      <c r="F1579" s="7">
        <f t="shared" si="285"/>
        <v>0</v>
      </c>
      <c r="G1579" s="8"/>
      <c r="H1579" s="7">
        <f t="shared" si="283"/>
        <v>0</v>
      </c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9">
        <f t="shared" si="280"/>
        <v>0</v>
      </c>
      <c r="T1579" s="10">
        <f t="shared" si="281"/>
        <v>0</v>
      </c>
      <c r="U1579" s="10"/>
    </row>
    <row r="1580" spans="1:21">
      <c r="A1580" s="6"/>
      <c r="B1580" s="11" t="s">
        <v>78</v>
      </c>
      <c r="C1580" s="7" t="s">
        <v>61</v>
      </c>
      <c r="D1580" s="7"/>
      <c r="E1580" s="7"/>
      <c r="F1580" s="7">
        <f t="shared" si="285"/>
        <v>69</v>
      </c>
      <c r="G1580" s="8"/>
      <c r="H1580" s="7">
        <f t="shared" si="283"/>
        <v>0</v>
      </c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9">
        <f t="shared" si="280"/>
        <v>69</v>
      </c>
      <c r="T1580" s="10">
        <f t="shared" si="281"/>
        <v>0</v>
      </c>
      <c r="U1580" s="10"/>
    </row>
    <row r="1581" spans="1:21">
      <c r="A1581" s="6"/>
      <c r="B1581" s="11" t="s">
        <v>105</v>
      </c>
      <c r="C1581" s="7" t="s">
        <v>26</v>
      </c>
      <c r="D1581" s="7"/>
      <c r="E1581" s="7"/>
      <c r="F1581" s="7">
        <f t="shared" si="285"/>
        <v>0</v>
      </c>
      <c r="G1581" s="8">
        <v>2013</v>
      </c>
      <c r="H1581" s="7">
        <f t="shared" si="283"/>
        <v>0</v>
      </c>
      <c r="I1581" s="7"/>
      <c r="J1581" s="7"/>
      <c r="K1581" s="7"/>
      <c r="L1581" s="7"/>
      <c r="M1581" s="7"/>
      <c r="N1581" s="7"/>
      <c r="O1581" s="7">
        <v>37</v>
      </c>
      <c r="P1581" s="7"/>
      <c r="Q1581" s="7"/>
      <c r="R1581" s="7"/>
      <c r="S1581" s="9">
        <f t="shared" si="280"/>
        <v>2050</v>
      </c>
      <c r="T1581" s="10">
        <f t="shared" si="281"/>
        <v>0</v>
      </c>
      <c r="U1581" s="10"/>
    </row>
    <row r="1582" spans="1:21">
      <c r="A1582" s="6"/>
      <c r="B1582" s="11" t="s">
        <v>80</v>
      </c>
      <c r="C1582" s="7" t="s">
        <v>26</v>
      </c>
      <c r="D1582" s="7"/>
      <c r="E1582" s="7"/>
      <c r="F1582" s="7">
        <f t="shared" si="285"/>
        <v>297</v>
      </c>
      <c r="G1582" s="8">
        <v>72</v>
      </c>
      <c r="H1582" s="7">
        <f t="shared" si="283"/>
        <v>0</v>
      </c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9">
        <f t="shared" si="280"/>
        <v>369</v>
      </c>
      <c r="T1582" s="10">
        <f t="shared" si="281"/>
        <v>0</v>
      </c>
      <c r="U1582" s="10"/>
    </row>
    <row r="1583" spans="1:21">
      <c r="A1583" s="6"/>
      <c r="B1583" s="11" t="s">
        <v>81</v>
      </c>
      <c r="C1583" s="7" t="s">
        <v>26</v>
      </c>
      <c r="D1583" s="7"/>
      <c r="E1583" s="7"/>
      <c r="F1583" s="7">
        <f t="shared" ref="F1583:F1596" si="286">S1498</f>
        <v>0</v>
      </c>
      <c r="G1583" s="8"/>
      <c r="H1583" s="7">
        <f t="shared" si="283"/>
        <v>0</v>
      </c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9">
        <f t="shared" si="280"/>
        <v>0</v>
      </c>
      <c r="T1583" s="10">
        <f t="shared" si="281"/>
        <v>0</v>
      </c>
      <c r="U1583" s="10"/>
    </row>
    <row r="1584" spans="1:21">
      <c r="A1584" s="6"/>
      <c r="B1584" s="11" t="s">
        <v>82</v>
      </c>
      <c r="C1584" s="7" t="s">
        <v>26</v>
      </c>
      <c r="D1584" s="7"/>
      <c r="E1584" s="7"/>
      <c r="F1584" s="7">
        <f t="shared" si="286"/>
        <v>14</v>
      </c>
      <c r="G1584" s="8"/>
      <c r="H1584" s="7">
        <f t="shared" si="283"/>
        <v>0</v>
      </c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9">
        <f t="shared" si="280"/>
        <v>14</v>
      </c>
      <c r="T1584" s="10">
        <f t="shared" si="281"/>
        <v>0</v>
      </c>
      <c r="U1584" s="10"/>
    </row>
    <row r="1585" spans="1:21">
      <c r="A1585" s="6"/>
      <c r="B1585" s="11" t="s">
        <v>83</v>
      </c>
      <c r="C1585" s="7" t="s">
        <v>26</v>
      </c>
      <c r="D1585" s="7"/>
      <c r="E1585" s="7"/>
      <c r="F1585" s="7">
        <f t="shared" si="286"/>
        <v>0</v>
      </c>
      <c r="G1585" s="8"/>
      <c r="H1585" s="7">
        <f t="shared" si="283"/>
        <v>0</v>
      </c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9">
        <f t="shared" si="280"/>
        <v>0</v>
      </c>
      <c r="T1585" s="10">
        <f t="shared" si="281"/>
        <v>0</v>
      </c>
      <c r="U1585" s="10"/>
    </row>
    <row r="1586" spans="1:21">
      <c r="A1586" s="6"/>
      <c r="B1586" s="11" t="s">
        <v>84</v>
      </c>
      <c r="C1586" s="7" t="s">
        <v>26</v>
      </c>
      <c r="D1586" s="7"/>
      <c r="E1586" s="7"/>
      <c r="F1586" s="7">
        <f t="shared" si="286"/>
        <v>28</v>
      </c>
      <c r="G1586" s="8"/>
      <c r="H1586" s="7">
        <f t="shared" si="283"/>
        <v>0</v>
      </c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9">
        <f t="shared" si="280"/>
        <v>28</v>
      </c>
      <c r="T1586" s="10">
        <f t="shared" si="281"/>
        <v>0</v>
      </c>
      <c r="U1586" s="10"/>
    </row>
    <row r="1587" spans="1:21">
      <c r="A1587" s="6"/>
      <c r="B1587" s="11" t="s">
        <v>85</v>
      </c>
      <c r="C1587" s="7" t="s">
        <v>61</v>
      </c>
      <c r="D1587" s="7"/>
      <c r="E1587" s="7"/>
      <c r="F1587" s="7">
        <f t="shared" si="286"/>
        <v>0</v>
      </c>
      <c r="G1587" s="8"/>
      <c r="H1587" s="7">
        <f t="shared" si="283"/>
        <v>0</v>
      </c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9">
        <f t="shared" si="280"/>
        <v>0</v>
      </c>
      <c r="T1587" s="10">
        <f t="shared" si="281"/>
        <v>0</v>
      </c>
      <c r="U1587" s="10"/>
    </row>
    <row r="1588" spans="1:21">
      <c r="A1588" s="6"/>
      <c r="B1588" s="11" t="s">
        <v>86</v>
      </c>
      <c r="C1588" s="7" t="s">
        <v>61</v>
      </c>
      <c r="D1588" s="7"/>
      <c r="E1588" s="7"/>
      <c r="F1588" s="7">
        <f t="shared" si="286"/>
        <v>10</v>
      </c>
      <c r="G1588" s="8"/>
      <c r="H1588" s="7">
        <f t="shared" si="283"/>
        <v>0</v>
      </c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9">
        <f t="shared" si="280"/>
        <v>10</v>
      </c>
      <c r="T1588" s="10">
        <f t="shared" si="281"/>
        <v>0</v>
      </c>
      <c r="U1588" s="10"/>
    </row>
    <row r="1589" spans="1:21">
      <c r="A1589" s="6"/>
      <c r="B1589" s="11" t="s">
        <v>87</v>
      </c>
      <c r="C1589" s="7" t="s">
        <v>26</v>
      </c>
      <c r="D1589" s="7"/>
      <c r="E1589" s="7"/>
      <c r="F1589" s="7">
        <f t="shared" si="286"/>
        <v>0</v>
      </c>
      <c r="G1589" s="8"/>
      <c r="H1589" s="7">
        <f t="shared" si="283"/>
        <v>0</v>
      </c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9">
        <f t="shared" si="280"/>
        <v>0</v>
      </c>
      <c r="T1589" s="10">
        <f t="shared" si="281"/>
        <v>0</v>
      </c>
      <c r="U1589" s="10"/>
    </row>
    <row r="1590" spans="1:21">
      <c r="A1590" s="6"/>
      <c r="B1590" s="11" t="s">
        <v>88</v>
      </c>
      <c r="C1590" s="10"/>
      <c r="D1590" s="7"/>
      <c r="E1590" s="7"/>
      <c r="F1590" s="7">
        <f t="shared" si="286"/>
        <v>7</v>
      </c>
      <c r="G1590" s="8"/>
      <c r="H1590" s="7">
        <f t="shared" si="283"/>
        <v>0</v>
      </c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9">
        <f t="shared" si="280"/>
        <v>7</v>
      </c>
      <c r="T1590" s="10">
        <f t="shared" si="281"/>
        <v>0</v>
      </c>
      <c r="U1590" s="10"/>
    </row>
    <row r="1591" spans="1:21">
      <c r="A1591" s="6"/>
      <c r="B1591" s="11" t="s">
        <v>89</v>
      </c>
      <c r="C1591" s="7" t="s">
        <v>26</v>
      </c>
      <c r="D1591" s="7"/>
      <c r="E1591" s="7"/>
      <c r="F1591" s="7">
        <f t="shared" si="286"/>
        <v>858</v>
      </c>
      <c r="G1591" s="8"/>
      <c r="H1591" s="7">
        <f t="shared" si="283"/>
        <v>0</v>
      </c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9">
        <f t="shared" ref="S1591:S1650" si="287">F1591+G1591-J1591-K1591-L1591+M1591+O1591-P1591-R1591</f>
        <v>858</v>
      </c>
      <c r="T1591" s="10">
        <f t="shared" ref="T1591:T1650" si="288">H1591+I1591+N1591+R1591-Q1591</f>
        <v>0</v>
      </c>
      <c r="U1591" s="10"/>
    </row>
    <row r="1592" spans="1:21">
      <c r="A1592" s="6"/>
      <c r="B1592" s="11" t="s">
        <v>90</v>
      </c>
      <c r="C1592" s="7" t="s">
        <v>26</v>
      </c>
      <c r="D1592" s="7"/>
      <c r="E1592" s="7"/>
      <c r="F1592" s="7">
        <f t="shared" ref="F1592:F1606" si="289">S1507</f>
        <v>0</v>
      </c>
      <c r="G1592" s="8"/>
      <c r="H1592" s="7">
        <f t="shared" si="283"/>
        <v>0</v>
      </c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9">
        <f t="shared" si="287"/>
        <v>0</v>
      </c>
      <c r="T1592" s="10">
        <f t="shared" si="288"/>
        <v>0</v>
      </c>
      <c r="U1592" s="10"/>
    </row>
    <row r="1593" spans="1:21">
      <c r="A1593" s="6"/>
      <c r="B1593" s="11" t="s">
        <v>91</v>
      </c>
      <c r="C1593" s="7" t="s">
        <v>26</v>
      </c>
      <c r="D1593" s="7"/>
      <c r="E1593" s="7"/>
      <c r="F1593" s="7">
        <f t="shared" si="289"/>
        <v>138</v>
      </c>
      <c r="G1593" s="8"/>
      <c r="H1593" s="7">
        <f t="shared" si="283"/>
        <v>0</v>
      </c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9">
        <f t="shared" si="287"/>
        <v>138</v>
      </c>
      <c r="T1593" s="10">
        <f t="shared" si="288"/>
        <v>0</v>
      </c>
      <c r="U1593" s="10"/>
    </row>
    <row r="1594" spans="1:21">
      <c r="A1594" s="6"/>
      <c r="B1594" s="12" t="s">
        <v>92</v>
      </c>
      <c r="C1594" s="13" t="s">
        <v>26</v>
      </c>
      <c r="D1594" s="7"/>
      <c r="E1594" s="7"/>
      <c r="F1594" s="7">
        <f t="shared" si="289"/>
        <v>1044</v>
      </c>
      <c r="G1594" s="8"/>
      <c r="H1594" s="7">
        <f t="shared" si="283"/>
        <v>0</v>
      </c>
      <c r="I1594" s="7"/>
      <c r="J1594" s="7">
        <v>300</v>
      </c>
      <c r="K1594" s="7">
        <v>60</v>
      </c>
      <c r="L1594" s="7"/>
      <c r="M1594" s="7"/>
      <c r="N1594" s="7"/>
      <c r="O1594" s="7"/>
      <c r="P1594" s="7"/>
      <c r="Q1594" s="7"/>
      <c r="R1594" s="7"/>
      <c r="S1594" s="9">
        <f t="shared" si="287"/>
        <v>684</v>
      </c>
      <c r="T1594" s="10">
        <f t="shared" si="288"/>
        <v>0</v>
      </c>
      <c r="U1594" s="10"/>
    </row>
    <row r="1595" spans="1:21">
      <c r="A1595" s="6"/>
      <c r="B1595" s="12" t="s">
        <v>93</v>
      </c>
      <c r="C1595" s="13" t="s">
        <v>26</v>
      </c>
      <c r="D1595" s="7"/>
      <c r="E1595" s="7"/>
      <c r="F1595" s="7">
        <f t="shared" si="289"/>
        <v>2931</v>
      </c>
      <c r="G1595" s="8"/>
      <c r="H1595" s="7">
        <f t="shared" si="283"/>
        <v>0</v>
      </c>
      <c r="I1595" s="7"/>
      <c r="J1595" s="7"/>
      <c r="K1595" s="7"/>
      <c r="L1595" s="7"/>
      <c r="M1595" s="7">
        <v>24</v>
      </c>
      <c r="N1595" s="7"/>
      <c r="O1595" s="7"/>
      <c r="P1595" s="7"/>
      <c r="Q1595" s="7"/>
      <c r="R1595" s="7"/>
      <c r="S1595" s="9">
        <f t="shared" si="287"/>
        <v>2955</v>
      </c>
      <c r="T1595" s="10">
        <f t="shared" si="288"/>
        <v>0</v>
      </c>
      <c r="U1595" s="10"/>
    </row>
    <row r="1596" spans="1:21">
      <c r="A1596" s="6"/>
      <c r="B1596" s="11" t="s">
        <v>94</v>
      </c>
      <c r="C1596" s="7" t="s">
        <v>41</v>
      </c>
      <c r="D1596" s="7"/>
      <c r="E1596" s="7"/>
      <c r="F1596" s="7">
        <f t="shared" si="289"/>
        <v>0</v>
      </c>
      <c r="G1596" s="8"/>
      <c r="H1596" s="7">
        <f t="shared" si="283"/>
        <v>0</v>
      </c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9">
        <f t="shared" si="287"/>
        <v>0</v>
      </c>
      <c r="T1596" s="10">
        <f t="shared" si="288"/>
        <v>0</v>
      </c>
      <c r="U1596" s="10"/>
    </row>
    <row r="1597" spans="1:21">
      <c r="A1597" s="6"/>
      <c r="B1597" s="11" t="s">
        <v>95</v>
      </c>
      <c r="C1597" s="7" t="s">
        <v>41</v>
      </c>
      <c r="D1597" s="7"/>
      <c r="E1597" s="7"/>
      <c r="F1597" s="7">
        <f t="shared" si="289"/>
        <v>39</v>
      </c>
      <c r="G1597" s="8"/>
      <c r="H1597" s="7">
        <f t="shared" si="283"/>
        <v>0</v>
      </c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9">
        <f t="shared" si="287"/>
        <v>39</v>
      </c>
      <c r="T1597" s="10">
        <f t="shared" si="288"/>
        <v>0</v>
      </c>
      <c r="U1597" s="10"/>
    </row>
    <row r="1598" spans="1:21">
      <c r="A1598" s="6"/>
      <c r="B1598" s="11" t="s">
        <v>96</v>
      </c>
      <c r="C1598" s="7" t="s">
        <v>41</v>
      </c>
      <c r="D1598" s="7"/>
      <c r="E1598" s="7"/>
      <c r="F1598" s="7">
        <f t="shared" si="289"/>
        <v>0</v>
      </c>
      <c r="G1598" s="8"/>
      <c r="H1598" s="7">
        <f t="shared" si="283"/>
        <v>0</v>
      </c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9">
        <f t="shared" si="287"/>
        <v>0</v>
      </c>
      <c r="T1598" s="10">
        <f t="shared" si="288"/>
        <v>0</v>
      </c>
      <c r="U1598" s="10"/>
    </row>
    <row r="1599" spans="1:21">
      <c r="A1599" s="6"/>
      <c r="B1599" s="11" t="s">
        <v>97</v>
      </c>
      <c r="C1599" s="7" t="s">
        <v>41</v>
      </c>
      <c r="D1599" s="7"/>
      <c r="E1599" s="7"/>
      <c r="F1599" s="7">
        <f t="shared" si="289"/>
        <v>0</v>
      </c>
      <c r="G1599" s="8"/>
      <c r="H1599" s="7">
        <f t="shared" si="283"/>
        <v>0</v>
      </c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9">
        <f t="shared" si="287"/>
        <v>0</v>
      </c>
      <c r="T1599" s="10">
        <f t="shared" si="288"/>
        <v>0</v>
      </c>
      <c r="U1599" s="10"/>
    </row>
    <row r="1600" spans="1:21">
      <c r="A1600" s="6"/>
      <c r="B1600" s="11" t="s">
        <v>98</v>
      </c>
      <c r="C1600" s="7" t="s">
        <v>26</v>
      </c>
      <c r="D1600" s="7"/>
      <c r="E1600" s="7"/>
      <c r="F1600" s="7">
        <f t="shared" ref="F1600:F1616" si="290">S1515</f>
        <v>636</v>
      </c>
      <c r="G1600" s="8"/>
      <c r="H1600" s="7">
        <f t="shared" si="283"/>
        <v>0</v>
      </c>
      <c r="I1600" s="7"/>
      <c r="J1600" s="7">
        <v>120</v>
      </c>
      <c r="K1600" s="7">
        <v>20</v>
      </c>
      <c r="L1600" s="7"/>
      <c r="M1600" s="7"/>
      <c r="N1600" s="7"/>
      <c r="O1600" s="7"/>
      <c r="P1600" s="7"/>
      <c r="Q1600" s="7"/>
      <c r="R1600" s="7"/>
      <c r="S1600" s="9">
        <f t="shared" si="287"/>
        <v>496</v>
      </c>
      <c r="T1600" s="10">
        <f t="shared" si="288"/>
        <v>0</v>
      </c>
      <c r="U1600" s="10"/>
    </row>
    <row r="1601" spans="1:25">
      <c r="A1601" s="6"/>
      <c r="B1601" s="11" t="s">
        <v>99</v>
      </c>
      <c r="C1601" s="7" t="s">
        <v>26</v>
      </c>
      <c r="D1601" s="7"/>
      <c r="E1601" s="7"/>
      <c r="F1601" s="7">
        <f t="shared" si="290"/>
        <v>1307</v>
      </c>
      <c r="G1601" s="8"/>
      <c r="H1601" s="7">
        <f t="shared" si="283"/>
        <v>0</v>
      </c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9">
        <f t="shared" si="287"/>
        <v>1307</v>
      </c>
      <c r="T1601" s="10">
        <f t="shared" si="288"/>
        <v>0</v>
      </c>
      <c r="U1601" s="10"/>
    </row>
    <row r="1602" spans="1:25">
      <c r="A1602" s="6"/>
      <c r="B1602" s="11" t="s">
        <v>100</v>
      </c>
      <c r="C1602" s="7" t="s">
        <v>26</v>
      </c>
      <c r="D1602" s="7"/>
      <c r="E1602" s="7"/>
      <c r="F1602" s="7">
        <f t="shared" si="290"/>
        <v>471</v>
      </c>
      <c r="G1602" s="8"/>
      <c r="H1602" s="7">
        <f t="shared" si="283"/>
        <v>0</v>
      </c>
      <c r="I1602" s="7"/>
      <c r="J1602" s="7"/>
      <c r="K1602" s="7"/>
      <c r="L1602" s="7"/>
      <c r="M1602" s="7">
        <v>1</v>
      </c>
      <c r="N1602" s="7"/>
      <c r="O1602" s="7">
        <v>42</v>
      </c>
      <c r="P1602" s="7"/>
      <c r="Q1602" s="7"/>
      <c r="R1602" s="7"/>
      <c r="S1602" s="9">
        <f t="shared" si="287"/>
        <v>514</v>
      </c>
      <c r="T1602" s="10">
        <f t="shared" si="288"/>
        <v>0</v>
      </c>
      <c r="U1602" s="10"/>
    </row>
    <row r="1603" spans="1:25">
      <c r="A1603" s="6"/>
      <c r="B1603" s="11" t="s">
        <v>101</v>
      </c>
      <c r="C1603" s="7" t="s">
        <v>26</v>
      </c>
      <c r="D1603" s="7"/>
      <c r="E1603" s="7"/>
      <c r="F1603" s="7">
        <f t="shared" si="290"/>
        <v>385</v>
      </c>
      <c r="G1603" s="8"/>
      <c r="H1603" s="7">
        <f t="shared" si="283"/>
        <v>0</v>
      </c>
      <c r="I1603" s="7"/>
      <c r="J1603" s="7"/>
      <c r="K1603" s="7"/>
      <c r="L1603" s="7"/>
      <c r="M1603" s="7">
        <v>23</v>
      </c>
      <c r="N1603" s="7"/>
      <c r="O1603" s="7"/>
      <c r="P1603" s="7"/>
      <c r="Q1603" s="7"/>
      <c r="R1603" s="7"/>
      <c r="S1603" s="9">
        <f t="shared" si="287"/>
        <v>408</v>
      </c>
      <c r="T1603" s="10">
        <f t="shared" si="288"/>
        <v>0</v>
      </c>
      <c r="U1603" s="10"/>
    </row>
    <row r="1604" spans="1:25">
      <c r="A1604" s="6"/>
      <c r="B1604" s="11" t="s">
        <v>102</v>
      </c>
      <c r="C1604" s="7" t="s">
        <v>26</v>
      </c>
      <c r="D1604" s="7"/>
      <c r="E1604" s="7"/>
      <c r="F1604" s="7">
        <f t="shared" si="290"/>
        <v>604</v>
      </c>
      <c r="G1604" s="8"/>
      <c r="H1604" s="7">
        <f t="shared" si="283"/>
        <v>0</v>
      </c>
      <c r="I1604" s="7"/>
      <c r="J1604" s="7"/>
      <c r="K1604" s="7"/>
      <c r="L1604" s="7"/>
      <c r="M1604" s="7"/>
      <c r="N1604" s="7"/>
      <c r="O1604" s="7">
        <v>54</v>
      </c>
      <c r="P1604" s="7"/>
      <c r="Q1604" s="7"/>
      <c r="R1604" s="7"/>
      <c r="S1604" s="9">
        <f t="shared" si="287"/>
        <v>658</v>
      </c>
      <c r="T1604" s="10">
        <f t="shared" si="288"/>
        <v>0</v>
      </c>
      <c r="U1604" s="10"/>
    </row>
    <row r="1605" spans="1:25">
      <c r="A1605" s="6"/>
      <c r="B1605" s="11" t="s">
        <v>103</v>
      </c>
      <c r="C1605" s="7" t="s">
        <v>26</v>
      </c>
      <c r="D1605" s="7"/>
      <c r="E1605" s="7"/>
      <c r="F1605" s="7">
        <f t="shared" si="290"/>
        <v>326</v>
      </c>
      <c r="G1605" s="8"/>
      <c r="H1605" s="7">
        <f t="shared" si="283"/>
        <v>0</v>
      </c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9">
        <f t="shared" si="287"/>
        <v>326</v>
      </c>
      <c r="T1605" s="10">
        <f t="shared" si="288"/>
        <v>0</v>
      </c>
      <c r="U1605" s="10"/>
    </row>
    <row r="1606" spans="1:25">
      <c r="A1606" s="6"/>
      <c r="B1606" s="11" t="s">
        <v>112</v>
      </c>
      <c r="C1606" s="7" t="s">
        <v>113</v>
      </c>
      <c r="D1606" s="7"/>
      <c r="E1606" s="7"/>
      <c r="F1606" s="7">
        <f t="shared" si="290"/>
        <v>1263</v>
      </c>
      <c r="G1606" s="8"/>
      <c r="H1606" s="7">
        <f t="shared" si="283"/>
        <v>0</v>
      </c>
      <c r="I1606" s="7"/>
      <c r="J1606" s="7">
        <v>20</v>
      </c>
      <c r="K1606" s="7">
        <v>43</v>
      </c>
      <c r="L1606" s="7"/>
      <c r="M1606" s="7"/>
      <c r="N1606" s="7"/>
      <c r="O1606" s="7"/>
      <c r="P1606" s="7"/>
      <c r="Q1606" s="7"/>
      <c r="R1606" s="7"/>
      <c r="S1606" s="9">
        <f t="shared" si="287"/>
        <v>1200</v>
      </c>
      <c r="T1606" s="10">
        <f t="shared" si="288"/>
        <v>0</v>
      </c>
      <c r="U1606" s="10"/>
    </row>
    <row r="1607" spans="1:25">
      <c r="A1607" s="6"/>
      <c r="B1607" s="11"/>
      <c r="C1607" s="7"/>
      <c r="D1607" s="7"/>
      <c r="E1607" s="7"/>
      <c r="F1607" s="7">
        <f t="shared" si="290"/>
        <v>0</v>
      </c>
      <c r="G1607" s="8"/>
      <c r="H1607" s="7">
        <f t="shared" si="283"/>
        <v>0</v>
      </c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9">
        <f t="shared" si="287"/>
        <v>0</v>
      </c>
      <c r="T1607" s="10">
        <f t="shared" si="288"/>
        <v>0</v>
      </c>
      <c r="U1607" s="10"/>
    </row>
    <row r="1608" spans="1:25">
      <c r="A1608" s="6"/>
      <c r="B1608" s="11"/>
      <c r="C1608" s="7"/>
      <c r="D1608" s="7"/>
      <c r="E1608" s="7"/>
      <c r="F1608" s="7">
        <f t="shared" si="290"/>
        <v>0</v>
      </c>
      <c r="G1608" s="8"/>
      <c r="H1608" s="7">
        <f t="shared" si="283"/>
        <v>0</v>
      </c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9">
        <f t="shared" si="287"/>
        <v>0</v>
      </c>
      <c r="T1608" s="10">
        <f t="shared" si="288"/>
        <v>0</v>
      </c>
      <c r="U1608" s="10"/>
    </row>
    <row r="1609" spans="1:25">
      <c r="A1609" s="6"/>
      <c r="B1609" s="11"/>
      <c r="C1609" s="7"/>
      <c r="D1609" s="7"/>
      <c r="E1609" s="7"/>
      <c r="F1609" s="7">
        <f t="shared" si="290"/>
        <v>0</v>
      </c>
      <c r="G1609" s="8"/>
      <c r="H1609" s="7">
        <f t="shared" si="283"/>
        <v>0</v>
      </c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9">
        <f t="shared" si="287"/>
        <v>0</v>
      </c>
      <c r="T1609" s="10">
        <f t="shared" si="288"/>
        <v>0</v>
      </c>
      <c r="U1609" s="10"/>
    </row>
    <row r="1610" spans="1:25">
      <c r="A1610" s="6"/>
      <c r="B1610" s="11"/>
      <c r="C1610" s="7"/>
      <c r="D1610" s="7"/>
      <c r="E1610" s="7"/>
      <c r="F1610" s="7">
        <f t="shared" si="290"/>
        <v>0</v>
      </c>
      <c r="G1610" s="8"/>
      <c r="H1610" s="7">
        <f t="shared" si="283"/>
        <v>0</v>
      </c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9">
        <f t="shared" si="287"/>
        <v>0</v>
      </c>
      <c r="T1610" s="10">
        <f t="shared" si="288"/>
        <v>0</v>
      </c>
      <c r="U1610" s="10"/>
    </row>
    <row r="1611" spans="1:25">
      <c r="A1611" s="6"/>
      <c r="B1611" s="11"/>
      <c r="C1611" s="7"/>
      <c r="D1611" s="7"/>
      <c r="E1611" s="7"/>
      <c r="F1611" s="7">
        <f t="shared" si="290"/>
        <v>0</v>
      </c>
      <c r="G1611" s="8"/>
      <c r="H1611" s="7">
        <f t="shared" si="283"/>
        <v>0</v>
      </c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9">
        <f t="shared" si="287"/>
        <v>0</v>
      </c>
      <c r="T1611" s="10">
        <f t="shared" si="288"/>
        <v>0</v>
      </c>
      <c r="U1611" s="10"/>
    </row>
    <row r="1612" spans="1:25">
      <c r="A1612" s="6"/>
      <c r="B1612" s="11"/>
      <c r="C1612" s="7"/>
      <c r="D1612" s="7"/>
      <c r="E1612" s="7"/>
      <c r="F1612" s="7">
        <f t="shared" si="290"/>
        <v>0</v>
      </c>
      <c r="G1612" s="8"/>
      <c r="H1612" s="7">
        <f t="shared" si="283"/>
        <v>0</v>
      </c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9">
        <f t="shared" si="287"/>
        <v>0</v>
      </c>
      <c r="T1612" s="10">
        <f t="shared" si="288"/>
        <v>0</v>
      </c>
      <c r="U1612" s="10"/>
    </row>
    <row r="1613" spans="1:25">
      <c r="A1613" s="6"/>
      <c r="B1613" s="11"/>
      <c r="C1613" s="7"/>
      <c r="D1613" s="7"/>
      <c r="E1613" s="7"/>
      <c r="F1613" s="7">
        <f t="shared" si="290"/>
        <v>0</v>
      </c>
      <c r="G1613" s="8"/>
      <c r="H1613" s="7">
        <f t="shared" si="283"/>
        <v>0</v>
      </c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9">
        <f t="shared" si="287"/>
        <v>0</v>
      </c>
      <c r="T1613" s="10">
        <f t="shared" si="288"/>
        <v>0</v>
      </c>
      <c r="U1613" s="10"/>
    </row>
    <row r="1614" spans="1:25">
      <c r="A1614" s="6"/>
      <c r="B1614" s="11"/>
      <c r="C1614" s="7"/>
      <c r="D1614" s="7"/>
      <c r="E1614" s="7"/>
      <c r="F1614" s="7">
        <f t="shared" si="290"/>
        <v>0</v>
      </c>
      <c r="G1614" s="8"/>
      <c r="H1614" s="7">
        <f t="shared" si="283"/>
        <v>0</v>
      </c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9">
        <f t="shared" si="287"/>
        <v>0</v>
      </c>
      <c r="T1614" s="10">
        <f t="shared" si="288"/>
        <v>0</v>
      </c>
      <c r="U1614" s="10"/>
    </row>
    <row r="1615" spans="1:25">
      <c r="A1615" s="6"/>
      <c r="B1615" s="11"/>
      <c r="C1615" s="7"/>
      <c r="D1615" s="7"/>
      <c r="E1615" s="7"/>
      <c r="F1615" s="7">
        <f t="shared" si="290"/>
        <v>0</v>
      </c>
      <c r="G1615" s="8"/>
      <c r="H1615" s="7">
        <f t="shared" si="283"/>
        <v>0</v>
      </c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9">
        <f t="shared" si="287"/>
        <v>0</v>
      </c>
      <c r="T1615" s="10">
        <f t="shared" si="288"/>
        <v>0</v>
      </c>
      <c r="U1615" s="10"/>
    </row>
    <row r="1616" spans="1:25">
      <c r="A1616" s="6"/>
      <c r="B1616" s="11"/>
      <c r="C1616" s="7"/>
      <c r="D1616" s="7"/>
      <c r="E1616" s="7"/>
      <c r="F1616" s="7">
        <f t="shared" si="290"/>
        <v>0</v>
      </c>
      <c r="G1616" s="8"/>
      <c r="H1616" s="7">
        <f t="shared" ref="H1616:H1626" si="291">T1531</f>
        <v>0</v>
      </c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9">
        <f t="shared" si="287"/>
        <v>0</v>
      </c>
      <c r="T1616" s="10">
        <f t="shared" si="288"/>
        <v>0</v>
      </c>
      <c r="U1616" s="10"/>
      <c r="V1616">
        <f>X1616*0.1</f>
        <v>0</v>
      </c>
      <c r="W1616">
        <f>E1616*S1616*1.5</f>
        <v>0</v>
      </c>
      <c r="X1616">
        <f>J1616+K1616</f>
        <v>0</v>
      </c>
      <c r="Y1616">
        <f>X1616*0.13</f>
        <v>0</v>
      </c>
    </row>
    <row r="1617" spans="1:25">
      <c r="A1617" s="6">
        <v>46162</v>
      </c>
      <c r="B1617" t="s">
        <v>25</v>
      </c>
      <c r="C1617" s="7" t="s">
        <v>26</v>
      </c>
      <c r="D1617" s="7"/>
      <c r="E1617" s="7"/>
      <c r="F1617" s="7">
        <f t="shared" ref="F1616:F1628" si="292">S1532</f>
        <v>1048</v>
      </c>
      <c r="G1617" s="8"/>
      <c r="H1617" s="7">
        <f t="shared" si="291"/>
        <v>0</v>
      </c>
      <c r="I1617" s="7"/>
      <c r="J1617" s="7">
        <v>239</v>
      </c>
      <c r="K1617" s="7"/>
      <c r="L1617" s="7"/>
      <c r="M1617" s="7"/>
      <c r="N1617" s="7"/>
      <c r="O1617" s="7"/>
      <c r="P1617" s="7"/>
      <c r="Q1617" s="7"/>
      <c r="R1617" s="7"/>
      <c r="S1617" s="9">
        <f t="shared" si="287"/>
        <v>809</v>
      </c>
      <c r="T1617" s="10">
        <f t="shared" si="288"/>
        <v>0</v>
      </c>
      <c r="U1617" s="10"/>
      <c r="V1617">
        <f t="shared" ref="V1617:V1623" si="293">X1617*0.1</f>
        <v>23.9</v>
      </c>
      <c r="W1617">
        <f t="shared" ref="W1617:W1623" si="294">E1617*S1617*1.5</f>
        <v>0</v>
      </c>
      <c r="X1617">
        <f t="shared" ref="X1617:X1623" si="295">J1617+K1617</f>
        <v>239</v>
      </c>
      <c r="Y1617">
        <f t="shared" ref="Y1617:Y1623" si="296">X1617*0.13</f>
        <v>31.07</v>
      </c>
    </row>
    <row r="1618" spans="1:25">
      <c r="A1618" s="6"/>
      <c r="B1618" t="s">
        <v>27</v>
      </c>
      <c r="C1618" s="7" t="s">
        <v>26</v>
      </c>
      <c r="D1618" s="7"/>
      <c r="E1618" s="7"/>
      <c r="F1618" s="7">
        <f t="shared" si="292"/>
        <v>681</v>
      </c>
      <c r="G1618" s="8"/>
      <c r="H1618" s="7">
        <f t="shared" si="291"/>
        <v>0</v>
      </c>
      <c r="I1618" s="7"/>
      <c r="J1618" s="7"/>
      <c r="K1618" s="7"/>
      <c r="L1618" s="7"/>
      <c r="M1618" s="7">
        <v>48</v>
      </c>
      <c r="N1618" s="7"/>
      <c r="O1618" s="7"/>
      <c r="P1618" s="7"/>
      <c r="Q1618" s="7"/>
      <c r="R1618" s="7"/>
      <c r="S1618" s="9">
        <f t="shared" si="287"/>
        <v>729</v>
      </c>
      <c r="T1618" s="10">
        <f t="shared" si="288"/>
        <v>0</v>
      </c>
      <c r="U1618" s="10"/>
      <c r="V1618">
        <f t="shared" si="293"/>
        <v>0</v>
      </c>
      <c r="W1618">
        <f t="shared" si="294"/>
        <v>0</v>
      </c>
      <c r="X1618">
        <f t="shared" si="295"/>
        <v>0</v>
      </c>
      <c r="Y1618">
        <f t="shared" si="296"/>
        <v>0</v>
      </c>
    </row>
    <row r="1619" spans="1:25">
      <c r="A1619" s="6"/>
      <c r="B1619" s="6" t="s">
        <v>28</v>
      </c>
      <c r="C1619" s="7" t="s">
        <v>26</v>
      </c>
      <c r="D1619" s="7"/>
      <c r="E1619" s="7"/>
      <c r="F1619" s="7">
        <f t="shared" si="292"/>
        <v>1246</v>
      </c>
      <c r="G1619" s="8"/>
      <c r="H1619" s="7">
        <f t="shared" si="291"/>
        <v>0</v>
      </c>
      <c r="I1619" s="7"/>
      <c r="J1619" s="7">
        <v>100</v>
      </c>
      <c r="K1619" s="7"/>
      <c r="L1619" s="7"/>
      <c r="M1619" s="7"/>
      <c r="N1619" s="7"/>
      <c r="O1619" s="7"/>
      <c r="P1619" s="7"/>
      <c r="Q1619" s="7"/>
      <c r="R1619" s="7"/>
      <c r="S1619" s="9">
        <f t="shared" si="287"/>
        <v>1146</v>
      </c>
      <c r="T1619" s="10">
        <f t="shared" si="288"/>
        <v>0</v>
      </c>
      <c r="U1619" s="10"/>
      <c r="V1619">
        <f t="shared" si="293"/>
        <v>10</v>
      </c>
      <c r="W1619">
        <f t="shared" si="294"/>
        <v>0</v>
      </c>
      <c r="X1619">
        <f t="shared" si="295"/>
        <v>100</v>
      </c>
      <c r="Y1619">
        <f t="shared" si="296"/>
        <v>13</v>
      </c>
    </row>
    <row r="1620" spans="1:25">
      <c r="A1620" s="6"/>
      <c r="B1620" s="6" t="s">
        <v>29</v>
      </c>
      <c r="C1620" s="7" t="s">
        <v>26</v>
      </c>
      <c r="D1620" s="7"/>
      <c r="E1620" s="7"/>
      <c r="F1620" s="7">
        <f t="shared" si="292"/>
        <v>270</v>
      </c>
      <c r="G1620" s="8"/>
      <c r="H1620" s="7">
        <f t="shared" si="291"/>
        <v>0</v>
      </c>
      <c r="I1620" s="7"/>
      <c r="J1620" s="7"/>
      <c r="K1620" s="7"/>
      <c r="L1620" s="7"/>
      <c r="M1620" s="7">
        <v>48</v>
      </c>
      <c r="N1620" s="7"/>
      <c r="O1620" s="7"/>
      <c r="P1620" s="7"/>
      <c r="Q1620" s="7"/>
      <c r="R1620" s="7"/>
      <c r="S1620" s="9">
        <f t="shared" si="287"/>
        <v>318</v>
      </c>
      <c r="T1620" s="10">
        <f t="shared" si="288"/>
        <v>0</v>
      </c>
      <c r="U1620" s="10"/>
      <c r="V1620">
        <f t="shared" si="293"/>
        <v>0</v>
      </c>
      <c r="W1620">
        <f t="shared" si="294"/>
        <v>0</v>
      </c>
      <c r="X1620">
        <f t="shared" si="295"/>
        <v>0</v>
      </c>
      <c r="Y1620">
        <f t="shared" si="296"/>
        <v>0</v>
      </c>
    </row>
    <row r="1621" spans="1:25">
      <c r="A1621" s="6"/>
      <c r="B1621" s="6" t="s">
        <v>30</v>
      </c>
      <c r="C1621" s="7" t="s">
        <v>26</v>
      </c>
      <c r="D1621" s="7"/>
      <c r="E1621" s="7"/>
      <c r="F1621" s="7">
        <f t="shared" si="292"/>
        <v>2409</v>
      </c>
      <c r="G1621" s="8"/>
      <c r="H1621" s="7">
        <f t="shared" si="291"/>
        <v>0</v>
      </c>
      <c r="I1621" s="7"/>
      <c r="J1621" s="7">
        <v>240</v>
      </c>
      <c r="K1621" s="7"/>
      <c r="L1621" s="7"/>
      <c r="M1621" s="7"/>
      <c r="N1621" s="7"/>
      <c r="O1621" s="7"/>
      <c r="P1621" s="7"/>
      <c r="Q1621" s="7"/>
      <c r="R1621" s="7"/>
      <c r="S1621" s="9">
        <f t="shared" si="287"/>
        <v>2169</v>
      </c>
      <c r="T1621" s="10">
        <f t="shared" si="288"/>
        <v>0</v>
      </c>
      <c r="U1621" s="10"/>
      <c r="V1621">
        <f t="shared" si="293"/>
        <v>24</v>
      </c>
      <c r="W1621">
        <f t="shared" si="294"/>
        <v>0</v>
      </c>
      <c r="X1621">
        <f t="shared" si="295"/>
        <v>240</v>
      </c>
      <c r="Y1621">
        <f t="shared" si="296"/>
        <v>31.2</v>
      </c>
    </row>
    <row r="1622" spans="1:25">
      <c r="A1622" s="6"/>
      <c r="B1622" s="6" t="s">
        <v>31</v>
      </c>
      <c r="C1622" s="7" t="s">
        <v>26</v>
      </c>
      <c r="D1622" s="7"/>
      <c r="E1622" s="7"/>
      <c r="F1622" s="7">
        <f t="shared" si="292"/>
        <v>1583</v>
      </c>
      <c r="G1622" s="8"/>
      <c r="H1622" s="7">
        <f t="shared" si="291"/>
        <v>0</v>
      </c>
      <c r="I1622" s="7"/>
      <c r="J1622" s="7"/>
      <c r="K1622" s="7"/>
      <c r="L1622" s="7"/>
      <c r="M1622" s="7">
        <v>48</v>
      </c>
      <c r="N1622" s="7"/>
      <c r="O1622" s="7"/>
      <c r="P1622" s="7"/>
      <c r="Q1622" s="7"/>
      <c r="R1622" s="7"/>
      <c r="S1622" s="9">
        <f t="shared" si="287"/>
        <v>1631</v>
      </c>
      <c r="T1622" s="10">
        <f t="shared" si="288"/>
        <v>0</v>
      </c>
      <c r="U1622" s="10"/>
      <c r="V1622">
        <f t="shared" si="293"/>
        <v>0</v>
      </c>
      <c r="W1622">
        <f t="shared" si="294"/>
        <v>0</v>
      </c>
      <c r="X1622">
        <f t="shared" si="295"/>
        <v>0</v>
      </c>
      <c r="Y1622">
        <f t="shared" si="296"/>
        <v>0</v>
      </c>
    </row>
    <row r="1623" spans="1:25">
      <c r="A1623" s="6"/>
      <c r="B1623" s="6" t="s">
        <v>32</v>
      </c>
      <c r="C1623" s="7" t="s">
        <v>26</v>
      </c>
      <c r="D1623" s="7"/>
      <c r="E1623" s="7"/>
      <c r="F1623" s="7">
        <f t="shared" si="292"/>
        <v>1361</v>
      </c>
      <c r="G1623" s="8"/>
      <c r="H1623" s="7">
        <f t="shared" si="291"/>
        <v>0</v>
      </c>
      <c r="I1623" s="7"/>
      <c r="J1623" s="7">
        <v>120</v>
      </c>
      <c r="K1623" s="7"/>
      <c r="L1623" s="7"/>
      <c r="M1623" s="7"/>
      <c r="N1623" s="7"/>
      <c r="O1623" s="7"/>
      <c r="P1623" s="7"/>
      <c r="Q1623" s="7"/>
      <c r="R1623" s="7"/>
      <c r="S1623" s="9">
        <f t="shared" si="287"/>
        <v>1241</v>
      </c>
      <c r="T1623" s="10">
        <f t="shared" si="288"/>
        <v>0</v>
      </c>
      <c r="U1623" s="10"/>
      <c r="V1623">
        <f t="shared" si="293"/>
        <v>12</v>
      </c>
      <c r="W1623">
        <f t="shared" si="294"/>
        <v>0</v>
      </c>
      <c r="X1623">
        <f t="shared" si="295"/>
        <v>120</v>
      </c>
      <c r="Y1623">
        <f t="shared" si="296"/>
        <v>15.6</v>
      </c>
    </row>
    <row r="1624" spans="1:25">
      <c r="A1624" s="6"/>
      <c r="B1624" s="6" t="s">
        <v>33</v>
      </c>
      <c r="C1624" s="7" t="s">
        <v>26</v>
      </c>
      <c r="D1624" s="7"/>
      <c r="E1624" s="7"/>
      <c r="F1624" s="7">
        <f t="shared" si="292"/>
        <v>1662</v>
      </c>
      <c r="G1624" s="8"/>
      <c r="H1624" s="7">
        <f t="shared" si="291"/>
        <v>0</v>
      </c>
      <c r="I1624" s="7"/>
      <c r="J1624" s="7"/>
      <c r="K1624" s="7"/>
      <c r="L1624" s="7"/>
      <c r="M1624" s="7">
        <v>48</v>
      </c>
      <c r="N1624" s="7"/>
      <c r="O1624" s="7"/>
      <c r="P1624" s="7"/>
      <c r="Q1624" s="7"/>
      <c r="R1624" s="7"/>
      <c r="S1624" s="9">
        <f t="shared" si="287"/>
        <v>1710</v>
      </c>
      <c r="T1624" s="10">
        <f t="shared" si="288"/>
        <v>0</v>
      </c>
      <c r="U1624" s="10"/>
    </row>
    <row r="1625" spans="1:25">
      <c r="A1625" s="6"/>
      <c r="B1625" s="11" t="s">
        <v>34</v>
      </c>
      <c r="C1625" s="7" t="s">
        <v>26</v>
      </c>
      <c r="D1625" s="7"/>
      <c r="E1625" s="7"/>
      <c r="F1625" s="7">
        <f t="shared" si="292"/>
        <v>17</v>
      </c>
      <c r="G1625" s="8"/>
      <c r="H1625" s="7">
        <f t="shared" si="291"/>
        <v>0</v>
      </c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9">
        <f t="shared" si="287"/>
        <v>17</v>
      </c>
      <c r="T1625" s="10">
        <f t="shared" si="288"/>
        <v>0</v>
      </c>
      <c r="U1625" s="10"/>
    </row>
    <row r="1626" spans="1:25">
      <c r="A1626" s="6"/>
      <c r="B1626" s="11" t="s">
        <v>35</v>
      </c>
      <c r="C1626" s="7" t="s">
        <v>26</v>
      </c>
      <c r="D1626" s="7"/>
      <c r="E1626" s="7"/>
      <c r="F1626" s="7">
        <f t="shared" si="292"/>
        <v>120</v>
      </c>
      <c r="G1626" s="8"/>
      <c r="H1626" s="7">
        <f t="shared" si="291"/>
        <v>0</v>
      </c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9">
        <f t="shared" si="287"/>
        <v>120</v>
      </c>
      <c r="T1626" s="10">
        <f t="shared" si="288"/>
        <v>0</v>
      </c>
      <c r="U1626" s="10"/>
    </row>
    <row r="1627" spans="1:25">
      <c r="A1627" s="6"/>
      <c r="B1627" s="11" t="s">
        <v>36</v>
      </c>
      <c r="C1627" s="7" t="s">
        <v>26</v>
      </c>
      <c r="D1627" s="7"/>
      <c r="E1627" s="7"/>
      <c r="F1627" s="7">
        <f t="shared" si="292"/>
        <v>7062</v>
      </c>
      <c r="G1627" s="8"/>
      <c r="H1627" s="7">
        <f t="shared" ref="H1627:H1675" si="297">T1542</f>
        <v>0</v>
      </c>
      <c r="I1627" s="7"/>
      <c r="J1627" s="7">
        <v>300</v>
      </c>
      <c r="K1627" s="7">
        <v>100</v>
      </c>
      <c r="L1627" s="7"/>
      <c r="M1627" s="7"/>
      <c r="N1627" s="7"/>
      <c r="O1627" s="7"/>
      <c r="P1627" s="7"/>
      <c r="Q1627" s="7"/>
      <c r="R1627" s="7"/>
      <c r="S1627" s="9">
        <f t="shared" si="287"/>
        <v>6662</v>
      </c>
      <c r="T1627" s="10">
        <f t="shared" si="288"/>
        <v>0</v>
      </c>
      <c r="U1627" s="10"/>
    </row>
    <row r="1628" spans="1:25">
      <c r="A1628" s="6"/>
      <c r="B1628" s="11" t="s">
        <v>37</v>
      </c>
      <c r="C1628" s="7" t="s">
        <v>26</v>
      </c>
      <c r="D1628" s="7"/>
      <c r="E1628" s="7"/>
      <c r="F1628" s="7">
        <f t="shared" si="292"/>
        <v>1404</v>
      </c>
      <c r="G1628" s="8"/>
      <c r="H1628" s="7">
        <f t="shared" si="297"/>
        <v>0</v>
      </c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9">
        <f t="shared" si="287"/>
        <v>1404</v>
      </c>
      <c r="T1628" s="10">
        <f t="shared" si="288"/>
        <v>0</v>
      </c>
      <c r="U1628" s="10"/>
    </row>
    <row r="1629" spans="1:25">
      <c r="A1629" s="6"/>
      <c r="B1629" s="11" t="s">
        <v>38</v>
      </c>
      <c r="C1629" s="7" t="s">
        <v>26</v>
      </c>
      <c r="D1629" s="7"/>
      <c r="E1629" s="7"/>
      <c r="F1629" s="7">
        <f t="shared" ref="F1629:F1641" si="298">S1544</f>
        <v>0</v>
      </c>
      <c r="G1629" s="8"/>
      <c r="H1629" s="7">
        <f t="shared" si="297"/>
        <v>0</v>
      </c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9">
        <f t="shared" si="287"/>
        <v>0</v>
      </c>
      <c r="T1629" s="10">
        <f t="shared" si="288"/>
        <v>0</v>
      </c>
      <c r="U1629" s="10"/>
    </row>
    <row r="1630" spans="1:25">
      <c r="A1630" s="6"/>
      <c r="B1630" s="11" t="s">
        <v>39</v>
      </c>
      <c r="C1630" s="7" t="s">
        <v>26</v>
      </c>
      <c r="D1630" s="7"/>
      <c r="E1630" s="7"/>
      <c r="F1630" s="7">
        <f t="shared" si="298"/>
        <v>1876</v>
      </c>
      <c r="G1630" s="8"/>
      <c r="H1630" s="7">
        <f t="shared" si="297"/>
        <v>0</v>
      </c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9">
        <f t="shared" si="287"/>
        <v>1876</v>
      </c>
      <c r="T1630" s="10">
        <f t="shared" si="288"/>
        <v>0</v>
      </c>
      <c r="U1630" s="10"/>
    </row>
    <row r="1631" spans="1:25">
      <c r="A1631" s="6"/>
      <c r="B1631" s="11" t="s">
        <v>40</v>
      </c>
      <c r="C1631" s="7" t="s">
        <v>41</v>
      </c>
      <c r="D1631" s="7"/>
      <c r="E1631" s="7"/>
      <c r="F1631" s="7">
        <f t="shared" si="298"/>
        <v>0</v>
      </c>
      <c r="G1631" s="8"/>
      <c r="H1631" s="7">
        <f t="shared" si="297"/>
        <v>0</v>
      </c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9">
        <f t="shared" si="287"/>
        <v>0</v>
      </c>
      <c r="T1631" s="10">
        <f t="shared" si="288"/>
        <v>0</v>
      </c>
      <c r="U1631" s="10"/>
    </row>
    <row r="1632" spans="1:25">
      <c r="A1632" s="6"/>
      <c r="B1632" s="11" t="s">
        <v>42</v>
      </c>
      <c r="C1632" s="7" t="s">
        <v>41</v>
      </c>
      <c r="D1632" s="7"/>
      <c r="E1632" s="7"/>
      <c r="F1632" s="7">
        <f t="shared" si="298"/>
        <v>53</v>
      </c>
      <c r="G1632" s="8"/>
      <c r="H1632" s="7">
        <f t="shared" si="297"/>
        <v>0</v>
      </c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9">
        <f t="shared" si="287"/>
        <v>53</v>
      </c>
      <c r="T1632" s="10">
        <f t="shared" si="288"/>
        <v>0</v>
      </c>
      <c r="U1632" s="10"/>
    </row>
    <row r="1633" spans="1:21">
      <c r="A1633" s="6"/>
      <c r="B1633" s="11" t="s">
        <v>43</v>
      </c>
      <c r="C1633" s="7" t="s">
        <v>41</v>
      </c>
      <c r="D1633" s="7"/>
      <c r="E1633" s="7"/>
      <c r="F1633" s="7">
        <f t="shared" si="298"/>
        <v>0</v>
      </c>
      <c r="G1633" s="8"/>
      <c r="H1633" s="7">
        <f t="shared" si="297"/>
        <v>0</v>
      </c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9">
        <f t="shared" si="287"/>
        <v>0</v>
      </c>
      <c r="T1633" s="10">
        <f t="shared" si="288"/>
        <v>0</v>
      </c>
      <c r="U1633" s="10"/>
    </row>
    <row r="1634" spans="1:21">
      <c r="A1634" s="6"/>
      <c r="B1634" s="11" t="s">
        <v>44</v>
      </c>
      <c r="C1634" s="7" t="s">
        <v>41</v>
      </c>
      <c r="D1634" s="7"/>
      <c r="E1634" s="7"/>
      <c r="F1634" s="7">
        <f t="shared" si="298"/>
        <v>75</v>
      </c>
      <c r="G1634" s="8"/>
      <c r="H1634" s="7">
        <f t="shared" si="297"/>
        <v>0</v>
      </c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9">
        <f t="shared" si="287"/>
        <v>75</v>
      </c>
      <c r="T1634" s="10">
        <f t="shared" si="288"/>
        <v>0</v>
      </c>
      <c r="U1634" s="10"/>
    </row>
    <row r="1635" spans="1:21">
      <c r="A1635" s="6"/>
      <c r="B1635" s="11" t="s">
        <v>45</v>
      </c>
      <c r="C1635" s="7" t="s">
        <v>41</v>
      </c>
      <c r="D1635" s="7"/>
      <c r="E1635" s="7"/>
      <c r="F1635" s="7">
        <f t="shared" si="298"/>
        <v>0</v>
      </c>
      <c r="G1635" s="8"/>
      <c r="H1635" s="7">
        <f t="shared" si="297"/>
        <v>0</v>
      </c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9">
        <f t="shared" si="287"/>
        <v>0</v>
      </c>
      <c r="T1635" s="10">
        <f t="shared" si="288"/>
        <v>0</v>
      </c>
      <c r="U1635" s="10"/>
    </row>
    <row r="1636" spans="1:21">
      <c r="A1636" s="6"/>
      <c r="B1636" s="11" t="s">
        <v>46</v>
      </c>
      <c r="C1636" s="7" t="s">
        <v>41</v>
      </c>
      <c r="D1636" s="7"/>
      <c r="E1636" s="7"/>
      <c r="F1636" s="7">
        <f t="shared" si="298"/>
        <v>17</v>
      </c>
      <c r="G1636" s="8"/>
      <c r="H1636" s="7">
        <f t="shared" si="297"/>
        <v>0</v>
      </c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9">
        <f t="shared" si="287"/>
        <v>17</v>
      </c>
      <c r="T1636" s="10">
        <f t="shared" si="288"/>
        <v>0</v>
      </c>
      <c r="U1636" s="10"/>
    </row>
    <row r="1637" spans="1:21">
      <c r="A1637" s="6"/>
      <c r="B1637" s="11" t="s">
        <v>47</v>
      </c>
      <c r="C1637" s="7" t="s">
        <v>26</v>
      </c>
      <c r="D1637" s="7"/>
      <c r="E1637" s="7"/>
      <c r="F1637" s="7">
        <f t="shared" si="298"/>
        <v>0</v>
      </c>
      <c r="G1637" s="8"/>
      <c r="H1637" s="7">
        <f t="shared" si="297"/>
        <v>0</v>
      </c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9">
        <f t="shared" si="287"/>
        <v>0</v>
      </c>
      <c r="T1637" s="10">
        <f t="shared" si="288"/>
        <v>0</v>
      </c>
      <c r="U1637" s="10"/>
    </row>
    <row r="1638" spans="1:21">
      <c r="A1638" s="6"/>
      <c r="B1638" s="11" t="s">
        <v>48</v>
      </c>
      <c r="C1638" s="7" t="s">
        <v>26</v>
      </c>
      <c r="D1638" s="7"/>
      <c r="E1638" s="7"/>
      <c r="F1638" s="7">
        <f t="shared" si="298"/>
        <v>15922</v>
      </c>
      <c r="G1638" s="8"/>
      <c r="H1638" s="7">
        <f t="shared" si="297"/>
        <v>0</v>
      </c>
      <c r="I1638" s="7"/>
      <c r="J1638" s="7">
        <v>3000</v>
      </c>
      <c r="K1638" s="7">
        <v>300</v>
      </c>
      <c r="L1638" s="7"/>
      <c r="M1638" s="7"/>
      <c r="N1638" s="7"/>
      <c r="O1638" s="7"/>
      <c r="P1638" s="7"/>
      <c r="Q1638" s="7"/>
      <c r="R1638" s="7"/>
      <c r="S1638" s="9">
        <f t="shared" si="287"/>
        <v>12622</v>
      </c>
      <c r="T1638" s="10">
        <f t="shared" si="288"/>
        <v>0</v>
      </c>
      <c r="U1638" s="10" t="s">
        <v>123</v>
      </c>
    </row>
    <row r="1639" spans="1:21">
      <c r="A1639" s="6"/>
      <c r="B1639" s="11" t="s">
        <v>50</v>
      </c>
      <c r="C1639" s="7" t="s">
        <v>26</v>
      </c>
      <c r="D1639" s="7"/>
      <c r="E1639" s="7"/>
      <c r="F1639" s="7">
        <f t="shared" si="298"/>
        <v>0</v>
      </c>
      <c r="G1639" s="8"/>
      <c r="H1639" s="7">
        <f t="shared" si="297"/>
        <v>0</v>
      </c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9">
        <f t="shared" si="287"/>
        <v>0</v>
      </c>
      <c r="T1639" s="10">
        <f t="shared" si="288"/>
        <v>0</v>
      </c>
      <c r="U1639" s="10"/>
    </row>
    <row r="1640" spans="1:21">
      <c r="A1640" s="6"/>
      <c r="B1640" s="11" t="s">
        <v>51</v>
      </c>
      <c r="C1640" s="7" t="s">
        <v>26</v>
      </c>
      <c r="D1640" s="7"/>
      <c r="E1640" s="7"/>
      <c r="F1640" s="7">
        <f t="shared" si="298"/>
        <v>0</v>
      </c>
      <c r="G1640" s="8"/>
      <c r="H1640" s="7">
        <f t="shared" si="297"/>
        <v>0</v>
      </c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9">
        <f t="shared" si="287"/>
        <v>0</v>
      </c>
      <c r="T1640" s="10">
        <f t="shared" si="288"/>
        <v>0</v>
      </c>
      <c r="U1640" s="10"/>
    </row>
    <row r="1641" spans="1:21">
      <c r="A1641" s="6"/>
      <c r="B1641" s="11" t="s">
        <v>52</v>
      </c>
      <c r="C1641" s="7" t="s">
        <v>26</v>
      </c>
      <c r="D1641" s="7"/>
      <c r="E1641" s="7"/>
      <c r="F1641" s="7">
        <f t="shared" si="298"/>
        <v>2277</v>
      </c>
      <c r="G1641" s="8"/>
      <c r="H1641" s="7">
        <f t="shared" si="297"/>
        <v>0</v>
      </c>
      <c r="I1641" s="7"/>
      <c r="J1641" s="7">
        <v>1368</v>
      </c>
      <c r="K1641" s="7"/>
      <c r="L1641" s="7"/>
      <c r="M1641" s="7"/>
      <c r="N1641" s="7"/>
      <c r="O1641" s="7"/>
      <c r="P1641" s="7"/>
      <c r="Q1641" s="7"/>
      <c r="R1641" s="7"/>
      <c r="S1641" s="9">
        <f t="shared" si="287"/>
        <v>909</v>
      </c>
      <c r="T1641" s="10">
        <f t="shared" si="288"/>
        <v>0</v>
      </c>
      <c r="U1641" s="10"/>
    </row>
    <row r="1642" spans="1:21">
      <c r="A1642" s="6"/>
      <c r="B1642" s="11" t="s">
        <v>53</v>
      </c>
      <c r="C1642" s="7" t="s">
        <v>54</v>
      </c>
      <c r="D1642" s="7"/>
      <c r="E1642" s="7"/>
      <c r="F1642" s="7">
        <f t="shared" ref="F1642:F1660" si="299">S1557</f>
        <v>0</v>
      </c>
      <c r="G1642" s="8"/>
      <c r="H1642" s="7">
        <f t="shared" si="297"/>
        <v>0</v>
      </c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9">
        <f t="shared" si="287"/>
        <v>0</v>
      </c>
      <c r="T1642" s="10">
        <f t="shared" si="288"/>
        <v>0</v>
      </c>
      <c r="U1642" s="10"/>
    </row>
    <row r="1643" spans="1:21">
      <c r="A1643" s="6"/>
      <c r="B1643" s="11" t="s">
        <v>55</v>
      </c>
      <c r="C1643" s="7" t="s">
        <v>54</v>
      </c>
      <c r="D1643" s="7"/>
      <c r="E1643" s="7"/>
      <c r="F1643" s="7">
        <f t="shared" si="299"/>
        <v>15</v>
      </c>
      <c r="G1643" s="8"/>
      <c r="H1643" s="7">
        <f t="shared" si="297"/>
        <v>0</v>
      </c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9">
        <f t="shared" si="287"/>
        <v>15</v>
      </c>
      <c r="T1643" s="10">
        <f t="shared" si="288"/>
        <v>0</v>
      </c>
      <c r="U1643" s="10"/>
    </row>
    <row r="1644" spans="1:21">
      <c r="A1644" s="6"/>
      <c r="B1644" s="11" t="s">
        <v>56</v>
      </c>
      <c r="C1644" s="7" t="s">
        <v>54</v>
      </c>
      <c r="D1644" s="7"/>
      <c r="E1644" s="7"/>
      <c r="F1644" s="7">
        <f t="shared" si="299"/>
        <v>1493</v>
      </c>
      <c r="G1644" s="8"/>
      <c r="H1644" s="7">
        <f t="shared" si="297"/>
        <v>0</v>
      </c>
      <c r="I1644" s="7"/>
      <c r="J1644" s="7">
        <v>90</v>
      </c>
      <c r="K1644" s="7"/>
      <c r="L1644" s="7"/>
      <c r="M1644" s="7"/>
      <c r="N1644" s="7"/>
      <c r="O1644" s="7"/>
      <c r="P1644" s="7"/>
      <c r="Q1644" s="7"/>
      <c r="R1644" s="7"/>
      <c r="S1644" s="9">
        <f t="shared" si="287"/>
        <v>1403</v>
      </c>
      <c r="T1644" s="10">
        <f t="shared" si="288"/>
        <v>0</v>
      </c>
      <c r="U1644" s="10"/>
    </row>
    <row r="1645" spans="1:21">
      <c r="A1645" s="6"/>
      <c r="B1645" s="11" t="s">
        <v>57</v>
      </c>
      <c r="C1645" s="7" t="s">
        <v>54</v>
      </c>
      <c r="D1645" s="7"/>
      <c r="E1645" s="7"/>
      <c r="F1645" s="7">
        <f t="shared" si="299"/>
        <v>129</v>
      </c>
      <c r="G1645" s="8"/>
      <c r="H1645" s="7">
        <f t="shared" si="297"/>
        <v>0</v>
      </c>
      <c r="I1645" s="7"/>
      <c r="J1645" s="7"/>
      <c r="K1645" s="7"/>
      <c r="L1645" s="7"/>
      <c r="M1645" s="7">
        <v>12</v>
      </c>
      <c r="N1645" s="7"/>
      <c r="O1645" s="7"/>
      <c r="P1645" s="7"/>
      <c r="Q1645" s="7"/>
      <c r="R1645" s="7"/>
      <c r="S1645" s="9">
        <f t="shared" si="287"/>
        <v>141</v>
      </c>
      <c r="T1645" s="10">
        <f t="shared" si="288"/>
        <v>0</v>
      </c>
      <c r="U1645" s="10"/>
    </row>
    <row r="1646" spans="1:21">
      <c r="A1646" s="6"/>
      <c r="B1646" s="11" t="s">
        <v>58</v>
      </c>
      <c r="C1646" s="7" t="s">
        <v>54</v>
      </c>
      <c r="D1646" s="7"/>
      <c r="E1646" s="7"/>
      <c r="F1646" s="7">
        <f t="shared" si="299"/>
        <v>0</v>
      </c>
      <c r="G1646" s="8"/>
      <c r="H1646" s="7">
        <f t="shared" si="297"/>
        <v>0</v>
      </c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9">
        <f t="shared" si="287"/>
        <v>0</v>
      </c>
      <c r="T1646" s="10">
        <f t="shared" si="288"/>
        <v>0</v>
      </c>
      <c r="U1646" s="10"/>
    </row>
    <row r="1647" spans="1:21">
      <c r="A1647" s="6"/>
      <c r="B1647" s="11" t="s">
        <v>59</v>
      </c>
      <c r="C1647" s="7" t="s">
        <v>54</v>
      </c>
      <c r="D1647" s="7"/>
      <c r="E1647" s="7"/>
      <c r="F1647" s="7">
        <f t="shared" si="299"/>
        <v>19</v>
      </c>
      <c r="G1647" s="8"/>
      <c r="H1647" s="7">
        <f t="shared" si="297"/>
        <v>0</v>
      </c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9">
        <f t="shared" si="287"/>
        <v>19</v>
      </c>
      <c r="T1647" s="10">
        <f t="shared" si="288"/>
        <v>0</v>
      </c>
      <c r="U1647" s="10"/>
    </row>
    <row r="1648" spans="1:21">
      <c r="A1648" s="6"/>
      <c r="B1648" s="11" t="s">
        <v>60</v>
      </c>
      <c r="C1648" s="7" t="s">
        <v>61</v>
      </c>
      <c r="D1648" s="7"/>
      <c r="E1648" s="7"/>
      <c r="F1648" s="7">
        <f t="shared" si="299"/>
        <v>0</v>
      </c>
      <c r="G1648" s="8"/>
      <c r="H1648" s="7">
        <f t="shared" si="297"/>
        <v>0</v>
      </c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9">
        <f t="shared" si="287"/>
        <v>0</v>
      </c>
      <c r="T1648" s="10">
        <f t="shared" si="288"/>
        <v>0</v>
      </c>
      <c r="U1648" s="10"/>
    </row>
    <row r="1649" spans="1:21">
      <c r="A1649" s="6"/>
      <c r="B1649" s="11" t="s">
        <v>62</v>
      </c>
      <c r="C1649" s="7" t="s">
        <v>61</v>
      </c>
      <c r="D1649" s="7"/>
      <c r="E1649" s="7"/>
      <c r="F1649" s="7">
        <f t="shared" si="299"/>
        <v>11</v>
      </c>
      <c r="G1649" s="8"/>
      <c r="H1649" s="7">
        <f t="shared" si="297"/>
        <v>0</v>
      </c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9">
        <f t="shared" si="287"/>
        <v>11</v>
      </c>
      <c r="T1649" s="10">
        <f t="shared" si="288"/>
        <v>0</v>
      </c>
      <c r="U1649" s="10"/>
    </row>
    <row r="1650" spans="1:21">
      <c r="A1650" s="6"/>
      <c r="B1650" s="10" t="s">
        <v>63</v>
      </c>
      <c r="C1650" s="10" t="s">
        <v>41</v>
      </c>
      <c r="D1650" s="7"/>
      <c r="E1650" s="7"/>
      <c r="F1650" s="7">
        <f t="shared" si="299"/>
        <v>0</v>
      </c>
      <c r="G1650" s="8"/>
      <c r="H1650" s="7">
        <f t="shared" si="297"/>
        <v>0</v>
      </c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9">
        <f t="shared" si="287"/>
        <v>0</v>
      </c>
      <c r="T1650" s="10">
        <f t="shared" si="288"/>
        <v>0</v>
      </c>
      <c r="U1650" s="10"/>
    </row>
    <row r="1651" spans="1:21">
      <c r="A1651" s="6"/>
      <c r="B1651" s="10" t="s">
        <v>64</v>
      </c>
      <c r="C1651" s="10" t="s">
        <v>41</v>
      </c>
      <c r="D1651" s="7"/>
      <c r="E1651" s="7"/>
      <c r="F1651" s="7">
        <f t="shared" si="299"/>
        <v>5</v>
      </c>
      <c r="G1651" s="8"/>
      <c r="H1651" s="7">
        <f t="shared" si="297"/>
        <v>0</v>
      </c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9">
        <f t="shared" ref="S1651:S1711" si="300">F1651+G1651-J1651-K1651-L1651+M1651+O1651-P1651-R1651</f>
        <v>5</v>
      </c>
      <c r="T1651" s="10">
        <f t="shared" ref="T1651:T1711" si="301">H1651+I1651+N1651+R1651-Q1651</f>
        <v>0</v>
      </c>
      <c r="U1651" s="10"/>
    </row>
    <row r="1652" spans="1:21">
      <c r="A1652" s="6"/>
      <c r="B1652" s="11" t="s">
        <v>65</v>
      </c>
      <c r="C1652" s="7" t="s">
        <v>26</v>
      </c>
      <c r="D1652" s="7"/>
      <c r="E1652" s="7"/>
      <c r="F1652" s="7">
        <f t="shared" si="299"/>
        <v>0</v>
      </c>
      <c r="G1652" s="8"/>
      <c r="H1652" s="7">
        <f t="shared" si="297"/>
        <v>0</v>
      </c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9">
        <f t="shared" si="300"/>
        <v>0</v>
      </c>
      <c r="T1652" s="10">
        <f t="shared" si="301"/>
        <v>0</v>
      </c>
      <c r="U1652" s="10"/>
    </row>
    <row r="1653" spans="1:21">
      <c r="A1653" s="6"/>
      <c r="B1653" s="11" t="s">
        <v>66</v>
      </c>
      <c r="C1653" s="7" t="s">
        <v>26</v>
      </c>
      <c r="D1653" s="7"/>
      <c r="E1653" s="7"/>
      <c r="F1653" s="7">
        <f t="shared" si="299"/>
        <v>71</v>
      </c>
      <c r="G1653" s="8"/>
      <c r="H1653" s="7">
        <f t="shared" si="297"/>
        <v>0</v>
      </c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9">
        <f t="shared" si="300"/>
        <v>71</v>
      </c>
      <c r="T1653" s="10">
        <f t="shared" si="301"/>
        <v>0</v>
      </c>
      <c r="U1653" s="10"/>
    </row>
    <row r="1654" spans="1:21">
      <c r="A1654" s="6"/>
      <c r="B1654" s="11" t="s">
        <v>67</v>
      </c>
      <c r="C1654" s="7" t="s">
        <v>26</v>
      </c>
      <c r="D1654" s="7"/>
      <c r="E1654" s="7"/>
      <c r="F1654" s="7">
        <f t="shared" si="299"/>
        <v>0</v>
      </c>
      <c r="G1654" s="8"/>
      <c r="H1654" s="7">
        <f t="shared" si="297"/>
        <v>0</v>
      </c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9">
        <f t="shared" si="300"/>
        <v>0</v>
      </c>
      <c r="T1654" s="10">
        <f t="shared" si="301"/>
        <v>0</v>
      </c>
      <c r="U1654" s="10"/>
    </row>
    <row r="1655" spans="1:21">
      <c r="A1655" s="6"/>
      <c r="B1655" s="11" t="s">
        <v>68</v>
      </c>
      <c r="C1655" s="7" t="s">
        <v>26</v>
      </c>
      <c r="D1655" s="7"/>
      <c r="E1655" s="7"/>
      <c r="F1655" s="7">
        <f t="shared" si="299"/>
        <v>7</v>
      </c>
      <c r="G1655" s="8"/>
      <c r="H1655" s="7">
        <f t="shared" si="297"/>
        <v>0</v>
      </c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9">
        <f t="shared" si="300"/>
        <v>7</v>
      </c>
      <c r="T1655" s="10">
        <f t="shared" si="301"/>
        <v>0</v>
      </c>
      <c r="U1655" s="10"/>
    </row>
    <row r="1656" spans="1:21">
      <c r="A1656" s="6"/>
      <c r="B1656" s="11" t="s">
        <v>69</v>
      </c>
      <c r="C1656" s="7" t="s">
        <v>41</v>
      </c>
      <c r="D1656" s="7"/>
      <c r="E1656" s="7"/>
      <c r="F1656" s="7">
        <f t="shared" ref="F1656:F1670" si="302">S1571</f>
        <v>0</v>
      </c>
      <c r="G1656" s="8"/>
      <c r="H1656" s="7">
        <f t="shared" si="297"/>
        <v>0</v>
      </c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9">
        <f t="shared" si="300"/>
        <v>0</v>
      </c>
      <c r="T1656" s="10">
        <f t="shared" si="301"/>
        <v>0</v>
      </c>
      <c r="U1656" s="10"/>
    </row>
    <row r="1657" spans="1:21">
      <c r="A1657" s="6"/>
      <c r="B1657" s="11" t="s">
        <v>70</v>
      </c>
      <c r="C1657" s="7" t="s">
        <v>41</v>
      </c>
      <c r="D1657" s="7"/>
      <c r="E1657" s="7"/>
      <c r="F1657" s="7">
        <f t="shared" si="302"/>
        <v>13</v>
      </c>
      <c r="G1657" s="8"/>
      <c r="H1657" s="7">
        <f t="shared" si="297"/>
        <v>0</v>
      </c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9">
        <f t="shared" si="300"/>
        <v>13</v>
      </c>
      <c r="T1657" s="10">
        <f t="shared" si="301"/>
        <v>0</v>
      </c>
      <c r="U1657" s="10"/>
    </row>
    <row r="1658" spans="1:21">
      <c r="A1658" s="6"/>
      <c r="B1658" s="11" t="s">
        <v>71</v>
      </c>
      <c r="C1658" s="7" t="s">
        <v>61</v>
      </c>
      <c r="D1658" s="7"/>
      <c r="E1658" s="7"/>
      <c r="F1658" s="7">
        <f t="shared" si="302"/>
        <v>0</v>
      </c>
      <c r="G1658" s="8"/>
      <c r="H1658" s="7">
        <f t="shared" si="297"/>
        <v>0</v>
      </c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9">
        <f t="shared" si="300"/>
        <v>0</v>
      </c>
      <c r="T1658" s="10">
        <f t="shared" si="301"/>
        <v>0</v>
      </c>
      <c r="U1658" s="10"/>
    </row>
    <row r="1659" spans="1:21">
      <c r="A1659" s="6"/>
      <c r="B1659" s="11" t="s">
        <v>72</v>
      </c>
      <c r="C1659" s="7" t="s">
        <v>61</v>
      </c>
      <c r="D1659" s="7"/>
      <c r="E1659" s="7"/>
      <c r="F1659" s="7">
        <f t="shared" si="302"/>
        <v>8</v>
      </c>
      <c r="G1659" s="8"/>
      <c r="H1659" s="7">
        <f t="shared" si="297"/>
        <v>0</v>
      </c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9">
        <f t="shared" si="300"/>
        <v>8</v>
      </c>
      <c r="T1659" s="10">
        <f t="shared" si="301"/>
        <v>0</v>
      </c>
      <c r="U1659" s="10"/>
    </row>
    <row r="1660" spans="1:21">
      <c r="A1660" s="6"/>
      <c r="B1660" s="11" t="s">
        <v>73</v>
      </c>
      <c r="C1660" s="7" t="s">
        <v>26</v>
      </c>
      <c r="D1660" s="7"/>
      <c r="E1660" s="7"/>
      <c r="F1660" s="7">
        <f t="shared" si="302"/>
        <v>0</v>
      </c>
      <c r="G1660" s="8"/>
      <c r="H1660" s="7">
        <f t="shared" si="297"/>
        <v>0</v>
      </c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9">
        <f t="shared" si="300"/>
        <v>0</v>
      </c>
      <c r="T1660" s="10">
        <f t="shared" si="301"/>
        <v>0</v>
      </c>
      <c r="U1660" s="10"/>
    </row>
    <row r="1661" spans="1:21">
      <c r="A1661" s="6"/>
      <c r="B1661" s="11" t="s">
        <v>74</v>
      </c>
      <c r="C1661" s="7" t="s">
        <v>26</v>
      </c>
      <c r="D1661" s="7"/>
      <c r="E1661" s="7"/>
      <c r="F1661" s="7">
        <f t="shared" si="302"/>
        <v>22</v>
      </c>
      <c r="G1661" s="8"/>
      <c r="H1661" s="7">
        <f t="shared" si="297"/>
        <v>0</v>
      </c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9">
        <f t="shared" si="300"/>
        <v>22</v>
      </c>
      <c r="T1661" s="10">
        <f t="shared" si="301"/>
        <v>0</v>
      </c>
      <c r="U1661" s="10"/>
    </row>
    <row r="1662" spans="1:21">
      <c r="A1662" s="6"/>
      <c r="B1662" s="11" t="s">
        <v>75</v>
      </c>
      <c r="C1662" s="7" t="s">
        <v>26</v>
      </c>
      <c r="D1662" s="7"/>
      <c r="E1662" s="7"/>
      <c r="F1662" s="7">
        <f t="shared" si="302"/>
        <v>0</v>
      </c>
      <c r="G1662" s="8"/>
      <c r="H1662" s="7">
        <f t="shared" si="297"/>
        <v>0</v>
      </c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9">
        <f t="shared" si="300"/>
        <v>0</v>
      </c>
      <c r="T1662" s="10">
        <f t="shared" si="301"/>
        <v>0</v>
      </c>
      <c r="U1662" s="10"/>
    </row>
    <row r="1663" spans="1:21">
      <c r="A1663" s="6"/>
      <c r="B1663" s="11" t="s">
        <v>76</v>
      </c>
      <c r="C1663" s="7" t="s">
        <v>26</v>
      </c>
      <c r="D1663" s="7"/>
      <c r="E1663" s="7"/>
      <c r="F1663" s="7">
        <f t="shared" si="302"/>
        <v>20</v>
      </c>
      <c r="G1663" s="8"/>
      <c r="H1663" s="7">
        <f t="shared" si="297"/>
        <v>0</v>
      </c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9">
        <f t="shared" si="300"/>
        <v>20</v>
      </c>
      <c r="T1663" s="10">
        <f t="shared" si="301"/>
        <v>0</v>
      </c>
      <c r="U1663" s="10"/>
    </row>
    <row r="1664" spans="1:21">
      <c r="A1664" s="6"/>
      <c r="B1664" s="11" t="s">
        <v>77</v>
      </c>
      <c r="C1664" s="7" t="s">
        <v>61</v>
      </c>
      <c r="D1664" s="7"/>
      <c r="E1664" s="7"/>
      <c r="F1664" s="7">
        <f t="shared" si="302"/>
        <v>0</v>
      </c>
      <c r="G1664" s="8"/>
      <c r="H1664" s="7">
        <f t="shared" si="297"/>
        <v>0</v>
      </c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9">
        <f t="shared" si="300"/>
        <v>0</v>
      </c>
      <c r="T1664" s="10">
        <f t="shared" si="301"/>
        <v>0</v>
      </c>
      <c r="U1664" s="10"/>
    </row>
    <row r="1665" spans="1:21">
      <c r="A1665" s="6"/>
      <c r="B1665" s="11" t="s">
        <v>78</v>
      </c>
      <c r="C1665" s="7" t="s">
        <v>61</v>
      </c>
      <c r="D1665" s="7"/>
      <c r="E1665" s="7"/>
      <c r="F1665" s="7">
        <f t="shared" si="302"/>
        <v>69</v>
      </c>
      <c r="G1665" s="8"/>
      <c r="H1665" s="7">
        <f t="shared" si="297"/>
        <v>0</v>
      </c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9">
        <f t="shared" si="300"/>
        <v>69</v>
      </c>
      <c r="T1665" s="10">
        <f t="shared" si="301"/>
        <v>0</v>
      </c>
      <c r="U1665" s="10"/>
    </row>
    <row r="1666" spans="1:21">
      <c r="A1666" s="6"/>
      <c r="B1666" s="11" t="s">
        <v>105</v>
      </c>
      <c r="C1666" s="7" t="s">
        <v>26</v>
      </c>
      <c r="D1666" s="7"/>
      <c r="E1666" s="7"/>
      <c r="F1666" s="7">
        <f t="shared" si="302"/>
        <v>2050</v>
      </c>
      <c r="G1666" s="8"/>
      <c r="H1666" s="7">
        <f t="shared" si="297"/>
        <v>0</v>
      </c>
      <c r="I1666" s="7"/>
      <c r="J1666" s="7">
        <v>120</v>
      </c>
      <c r="K1666" s="7">
        <v>37</v>
      </c>
      <c r="L1666" s="7"/>
      <c r="M1666" s="7"/>
      <c r="N1666" s="7"/>
      <c r="O1666" s="7"/>
      <c r="P1666" s="7"/>
      <c r="Q1666" s="7"/>
      <c r="R1666" s="7"/>
      <c r="S1666" s="9">
        <f t="shared" si="300"/>
        <v>1893</v>
      </c>
      <c r="T1666" s="10">
        <f t="shared" si="301"/>
        <v>0</v>
      </c>
      <c r="U1666" s="10"/>
    </row>
    <row r="1667" spans="1:21">
      <c r="A1667" s="6"/>
      <c r="B1667" s="11" t="s">
        <v>80</v>
      </c>
      <c r="C1667" s="7" t="s">
        <v>26</v>
      </c>
      <c r="D1667" s="7"/>
      <c r="E1667" s="7"/>
      <c r="F1667" s="7">
        <f t="shared" si="302"/>
        <v>369</v>
      </c>
      <c r="G1667" s="8"/>
      <c r="H1667" s="7">
        <f t="shared" si="297"/>
        <v>0</v>
      </c>
      <c r="I1667" s="7"/>
      <c r="J1667" s="7"/>
      <c r="K1667" s="7"/>
      <c r="L1667" s="7"/>
      <c r="M1667" s="7">
        <v>72</v>
      </c>
      <c r="N1667" s="7"/>
      <c r="O1667" s="7"/>
      <c r="P1667" s="7"/>
      <c r="Q1667" s="7"/>
      <c r="R1667" s="7"/>
      <c r="S1667" s="9">
        <f t="shared" si="300"/>
        <v>441</v>
      </c>
      <c r="T1667" s="10">
        <f t="shared" si="301"/>
        <v>0</v>
      </c>
      <c r="U1667" s="10"/>
    </row>
    <row r="1668" spans="1:21">
      <c r="A1668" s="6"/>
      <c r="B1668" s="11" t="s">
        <v>81</v>
      </c>
      <c r="C1668" s="7" t="s">
        <v>26</v>
      </c>
      <c r="D1668" s="7"/>
      <c r="E1668" s="7"/>
      <c r="F1668" s="7">
        <f t="shared" ref="F1668:F1681" si="303">S1583</f>
        <v>0</v>
      </c>
      <c r="G1668" s="8"/>
      <c r="H1668" s="7">
        <f t="shared" si="297"/>
        <v>0</v>
      </c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9">
        <f t="shared" si="300"/>
        <v>0</v>
      </c>
      <c r="T1668" s="10">
        <f t="shared" si="301"/>
        <v>0</v>
      </c>
      <c r="U1668" s="10"/>
    </row>
    <row r="1669" spans="1:21">
      <c r="A1669" s="6"/>
      <c r="B1669" s="11" t="s">
        <v>82</v>
      </c>
      <c r="C1669" s="7" t="s">
        <v>26</v>
      </c>
      <c r="D1669" s="7"/>
      <c r="E1669" s="7"/>
      <c r="F1669" s="7">
        <f t="shared" si="303"/>
        <v>14</v>
      </c>
      <c r="G1669" s="8"/>
      <c r="H1669" s="7">
        <f t="shared" si="297"/>
        <v>0</v>
      </c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9">
        <f t="shared" si="300"/>
        <v>14</v>
      </c>
      <c r="T1669" s="10">
        <f t="shared" si="301"/>
        <v>0</v>
      </c>
      <c r="U1669" s="10"/>
    </row>
    <row r="1670" spans="1:21">
      <c r="A1670" s="6"/>
      <c r="B1670" s="11" t="s">
        <v>83</v>
      </c>
      <c r="C1670" s="7" t="s">
        <v>26</v>
      </c>
      <c r="D1670" s="7"/>
      <c r="E1670" s="7"/>
      <c r="F1670" s="7">
        <f t="shared" si="303"/>
        <v>0</v>
      </c>
      <c r="G1670" s="8"/>
      <c r="H1670" s="7">
        <f t="shared" si="297"/>
        <v>0</v>
      </c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9">
        <f t="shared" si="300"/>
        <v>0</v>
      </c>
      <c r="T1670" s="10">
        <f t="shared" si="301"/>
        <v>0</v>
      </c>
      <c r="U1670" s="10"/>
    </row>
    <row r="1671" spans="1:21">
      <c r="A1671" s="6"/>
      <c r="B1671" s="11" t="s">
        <v>84</v>
      </c>
      <c r="C1671" s="7" t="s">
        <v>26</v>
      </c>
      <c r="D1671" s="7"/>
      <c r="E1671" s="7"/>
      <c r="F1671" s="7">
        <f t="shared" si="303"/>
        <v>28</v>
      </c>
      <c r="G1671" s="8"/>
      <c r="H1671" s="7">
        <f t="shared" si="297"/>
        <v>0</v>
      </c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9">
        <f t="shared" si="300"/>
        <v>28</v>
      </c>
      <c r="T1671" s="10">
        <f t="shared" si="301"/>
        <v>0</v>
      </c>
      <c r="U1671" s="10"/>
    </row>
    <row r="1672" spans="1:21">
      <c r="A1672" s="6"/>
      <c r="B1672" s="11" t="s">
        <v>85</v>
      </c>
      <c r="C1672" s="7" t="s">
        <v>61</v>
      </c>
      <c r="D1672" s="7"/>
      <c r="E1672" s="7"/>
      <c r="F1672" s="7">
        <f t="shared" si="303"/>
        <v>0</v>
      </c>
      <c r="G1672" s="8"/>
      <c r="H1672" s="7">
        <f t="shared" si="297"/>
        <v>0</v>
      </c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9">
        <f t="shared" si="300"/>
        <v>0</v>
      </c>
      <c r="T1672" s="10">
        <f t="shared" si="301"/>
        <v>0</v>
      </c>
      <c r="U1672" s="10"/>
    </row>
    <row r="1673" spans="1:21">
      <c r="A1673" s="6"/>
      <c r="B1673" s="11" t="s">
        <v>86</v>
      </c>
      <c r="C1673" s="7" t="s">
        <v>61</v>
      </c>
      <c r="D1673" s="7"/>
      <c r="E1673" s="7"/>
      <c r="F1673" s="7">
        <f t="shared" si="303"/>
        <v>10</v>
      </c>
      <c r="G1673" s="8"/>
      <c r="H1673" s="7">
        <f t="shared" si="297"/>
        <v>0</v>
      </c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9">
        <f t="shared" si="300"/>
        <v>10</v>
      </c>
      <c r="T1673" s="10">
        <f t="shared" si="301"/>
        <v>0</v>
      </c>
      <c r="U1673" s="10"/>
    </row>
    <row r="1674" spans="1:21">
      <c r="A1674" s="6"/>
      <c r="B1674" s="11" t="s">
        <v>87</v>
      </c>
      <c r="C1674" s="7" t="s">
        <v>26</v>
      </c>
      <c r="D1674" s="7"/>
      <c r="E1674" s="7"/>
      <c r="F1674" s="7">
        <f t="shared" si="303"/>
        <v>0</v>
      </c>
      <c r="G1674" s="8"/>
      <c r="H1674" s="7">
        <f t="shared" si="297"/>
        <v>0</v>
      </c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9">
        <f t="shared" si="300"/>
        <v>0</v>
      </c>
      <c r="T1674" s="10">
        <f t="shared" si="301"/>
        <v>0</v>
      </c>
      <c r="U1674" s="10"/>
    </row>
    <row r="1675" spans="1:21">
      <c r="A1675" s="6"/>
      <c r="B1675" s="11" t="s">
        <v>88</v>
      </c>
      <c r="C1675" s="10"/>
      <c r="D1675" s="7"/>
      <c r="E1675" s="7"/>
      <c r="F1675" s="7">
        <f t="shared" si="303"/>
        <v>7</v>
      </c>
      <c r="G1675" s="8"/>
      <c r="H1675" s="7">
        <f t="shared" si="297"/>
        <v>0</v>
      </c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9">
        <f t="shared" si="300"/>
        <v>7</v>
      </c>
      <c r="T1675" s="10">
        <f t="shared" si="301"/>
        <v>0</v>
      </c>
      <c r="U1675" s="10"/>
    </row>
    <row r="1676" spans="1:21">
      <c r="A1676" s="6"/>
      <c r="B1676" s="11" t="s">
        <v>89</v>
      </c>
      <c r="C1676" s="7" t="s">
        <v>26</v>
      </c>
      <c r="D1676" s="7"/>
      <c r="E1676" s="7"/>
      <c r="F1676" s="7">
        <f t="shared" si="303"/>
        <v>858</v>
      </c>
      <c r="G1676" s="8"/>
      <c r="H1676" s="7">
        <f t="shared" ref="H1676:H1735" si="304">T1591</f>
        <v>0</v>
      </c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9">
        <f t="shared" si="300"/>
        <v>858</v>
      </c>
      <c r="T1676" s="10">
        <f t="shared" si="301"/>
        <v>0</v>
      </c>
      <c r="U1676" s="10"/>
    </row>
    <row r="1677" spans="1:21">
      <c r="A1677" s="6"/>
      <c r="B1677" s="11" t="s">
        <v>90</v>
      </c>
      <c r="C1677" s="7" t="s">
        <v>26</v>
      </c>
      <c r="D1677" s="7"/>
      <c r="E1677" s="7"/>
      <c r="F1677" s="7">
        <f t="shared" ref="F1677:F1691" si="305">S1592</f>
        <v>0</v>
      </c>
      <c r="G1677" s="8"/>
      <c r="H1677" s="7">
        <f t="shared" si="304"/>
        <v>0</v>
      </c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9">
        <f t="shared" si="300"/>
        <v>0</v>
      </c>
      <c r="T1677" s="10">
        <f t="shared" si="301"/>
        <v>0</v>
      </c>
      <c r="U1677" s="10"/>
    </row>
    <row r="1678" spans="1:21">
      <c r="A1678" s="6"/>
      <c r="B1678" s="11" t="s">
        <v>91</v>
      </c>
      <c r="C1678" s="7" t="s">
        <v>26</v>
      </c>
      <c r="D1678" s="7"/>
      <c r="E1678" s="7"/>
      <c r="F1678" s="7">
        <f t="shared" si="305"/>
        <v>138</v>
      </c>
      <c r="G1678" s="8"/>
      <c r="H1678" s="7">
        <f t="shared" si="304"/>
        <v>0</v>
      </c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9">
        <f t="shared" si="300"/>
        <v>138</v>
      </c>
      <c r="T1678" s="10">
        <f t="shared" si="301"/>
        <v>0</v>
      </c>
      <c r="U1678" s="10"/>
    </row>
    <row r="1679" spans="1:21">
      <c r="A1679" s="6"/>
      <c r="B1679" s="12" t="s">
        <v>92</v>
      </c>
      <c r="C1679" s="13" t="s">
        <v>26</v>
      </c>
      <c r="D1679" s="7"/>
      <c r="E1679" s="7"/>
      <c r="F1679" s="7">
        <f t="shared" si="305"/>
        <v>684</v>
      </c>
      <c r="G1679" s="8"/>
      <c r="H1679" s="7">
        <f t="shared" si="304"/>
        <v>0</v>
      </c>
      <c r="I1679" s="7"/>
      <c r="J1679" s="7">
        <v>360</v>
      </c>
      <c r="K1679" s="7"/>
      <c r="L1679" s="7"/>
      <c r="M1679" s="7"/>
      <c r="N1679" s="7"/>
      <c r="O1679" s="7"/>
      <c r="P1679" s="7"/>
      <c r="Q1679" s="7"/>
      <c r="R1679" s="7"/>
      <c r="S1679" s="9">
        <f t="shared" si="300"/>
        <v>324</v>
      </c>
      <c r="T1679" s="10">
        <f t="shared" si="301"/>
        <v>0</v>
      </c>
      <c r="U1679" s="10"/>
    </row>
    <row r="1680" spans="1:21">
      <c r="A1680" s="6"/>
      <c r="B1680" s="12" t="s">
        <v>93</v>
      </c>
      <c r="C1680" s="13" t="s">
        <v>26</v>
      </c>
      <c r="D1680" s="7"/>
      <c r="E1680" s="7"/>
      <c r="F1680" s="7">
        <f t="shared" si="305"/>
        <v>2955</v>
      </c>
      <c r="G1680" s="8"/>
      <c r="H1680" s="7">
        <f t="shared" si="304"/>
        <v>0</v>
      </c>
      <c r="I1680" s="7"/>
      <c r="J1680" s="7"/>
      <c r="K1680" s="7"/>
      <c r="L1680" s="7"/>
      <c r="M1680" s="7">
        <v>92</v>
      </c>
      <c r="N1680" s="7"/>
      <c r="O1680" s="7"/>
      <c r="P1680" s="7"/>
      <c r="Q1680" s="7"/>
      <c r="R1680" s="7"/>
      <c r="S1680" s="9">
        <f t="shared" si="300"/>
        <v>3047</v>
      </c>
      <c r="T1680" s="10">
        <f t="shared" si="301"/>
        <v>0</v>
      </c>
      <c r="U1680" s="10"/>
    </row>
    <row r="1681" spans="1:21">
      <c r="A1681" s="6"/>
      <c r="B1681" s="11" t="s">
        <v>94</v>
      </c>
      <c r="C1681" s="7" t="s">
        <v>41</v>
      </c>
      <c r="D1681" s="7"/>
      <c r="E1681" s="7"/>
      <c r="F1681" s="7">
        <f t="shared" si="305"/>
        <v>0</v>
      </c>
      <c r="G1681" s="8"/>
      <c r="H1681" s="7">
        <f t="shared" si="304"/>
        <v>0</v>
      </c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9">
        <f t="shared" si="300"/>
        <v>0</v>
      </c>
      <c r="T1681" s="10">
        <f t="shared" si="301"/>
        <v>0</v>
      </c>
      <c r="U1681" s="10"/>
    </row>
    <row r="1682" spans="1:21">
      <c r="A1682" s="6"/>
      <c r="B1682" s="11" t="s">
        <v>95</v>
      </c>
      <c r="C1682" s="7" t="s">
        <v>41</v>
      </c>
      <c r="D1682" s="7"/>
      <c r="E1682" s="7"/>
      <c r="F1682" s="7">
        <f t="shared" si="305"/>
        <v>39</v>
      </c>
      <c r="G1682" s="8"/>
      <c r="H1682" s="7">
        <f t="shared" si="304"/>
        <v>0</v>
      </c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9">
        <f t="shared" si="300"/>
        <v>39</v>
      </c>
      <c r="T1682" s="10">
        <f t="shared" si="301"/>
        <v>0</v>
      </c>
      <c r="U1682" s="10"/>
    </row>
    <row r="1683" spans="1:21">
      <c r="A1683" s="6"/>
      <c r="B1683" s="11" t="s">
        <v>96</v>
      </c>
      <c r="C1683" s="7" t="s">
        <v>41</v>
      </c>
      <c r="D1683" s="7"/>
      <c r="E1683" s="7"/>
      <c r="F1683" s="7">
        <f t="shared" si="305"/>
        <v>0</v>
      </c>
      <c r="G1683" s="8"/>
      <c r="H1683" s="7">
        <f t="shared" si="304"/>
        <v>0</v>
      </c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9">
        <f t="shared" si="300"/>
        <v>0</v>
      </c>
      <c r="T1683" s="10">
        <f t="shared" si="301"/>
        <v>0</v>
      </c>
      <c r="U1683" s="10"/>
    </row>
    <row r="1684" spans="1:21">
      <c r="A1684" s="6"/>
      <c r="B1684" s="11" t="s">
        <v>97</v>
      </c>
      <c r="C1684" s="7" t="s">
        <v>41</v>
      </c>
      <c r="D1684" s="7"/>
      <c r="E1684" s="7"/>
      <c r="F1684" s="7">
        <f t="shared" si="305"/>
        <v>0</v>
      </c>
      <c r="G1684" s="8"/>
      <c r="H1684" s="7">
        <f t="shared" si="304"/>
        <v>0</v>
      </c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9">
        <f t="shared" si="300"/>
        <v>0</v>
      </c>
      <c r="T1684" s="10">
        <f t="shared" si="301"/>
        <v>0</v>
      </c>
      <c r="U1684" s="10"/>
    </row>
    <row r="1685" spans="1:21">
      <c r="A1685" s="6"/>
      <c r="B1685" s="11" t="s">
        <v>98</v>
      </c>
      <c r="C1685" s="7" t="s">
        <v>26</v>
      </c>
      <c r="D1685" s="7"/>
      <c r="E1685" s="7"/>
      <c r="F1685" s="7">
        <f t="shared" ref="F1685:F1701" si="306">S1600</f>
        <v>496</v>
      </c>
      <c r="G1685" s="8"/>
      <c r="H1685" s="7">
        <f t="shared" si="304"/>
        <v>0</v>
      </c>
      <c r="I1685" s="7"/>
      <c r="J1685" s="7">
        <v>147</v>
      </c>
      <c r="K1685" s="7">
        <v>60</v>
      </c>
      <c r="L1685" s="7"/>
      <c r="M1685" s="7"/>
      <c r="N1685" s="7"/>
      <c r="O1685" s="7"/>
      <c r="P1685" s="7"/>
      <c r="Q1685" s="7"/>
      <c r="R1685" s="7"/>
      <c r="S1685" s="9">
        <f t="shared" si="300"/>
        <v>289</v>
      </c>
      <c r="T1685" s="10">
        <f t="shared" si="301"/>
        <v>0</v>
      </c>
      <c r="U1685" s="10"/>
    </row>
    <row r="1686" spans="1:21">
      <c r="A1686" s="6"/>
      <c r="B1686" s="11" t="s">
        <v>99</v>
      </c>
      <c r="C1686" s="7" t="s">
        <v>26</v>
      </c>
      <c r="D1686" s="7"/>
      <c r="E1686" s="7"/>
      <c r="F1686" s="7">
        <f t="shared" si="306"/>
        <v>1307</v>
      </c>
      <c r="G1686" s="8"/>
      <c r="H1686" s="7">
        <f t="shared" si="304"/>
        <v>0</v>
      </c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9">
        <f t="shared" si="300"/>
        <v>1307</v>
      </c>
      <c r="T1686" s="10">
        <f t="shared" si="301"/>
        <v>0</v>
      </c>
      <c r="U1686" s="10"/>
    </row>
    <row r="1687" spans="1:21">
      <c r="A1687" s="6"/>
      <c r="B1687" s="11" t="s">
        <v>100</v>
      </c>
      <c r="C1687" s="7" t="s">
        <v>26</v>
      </c>
      <c r="D1687" s="7"/>
      <c r="E1687" s="7"/>
      <c r="F1687" s="7">
        <f t="shared" si="306"/>
        <v>514</v>
      </c>
      <c r="G1687" s="8"/>
      <c r="H1687" s="7">
        <f t="shared" si="304"/>
        <v>0</v>
      </c>
      <c r="I1687" s="7"/>
      <c r="J1687" s="7">
        <v>120</v>
      </c>
      <c r="K1687" s="7"/>
      <c r="L1687" s="7"/>
      <c r="M1687" s="7"/>
      <c r="N1687" s="7"/>
      <c r="O1687" s="7"/>
      <c r="P1687" s="7"/>
      <c r="Q1687" s="7"/>
      <c r="R1687" s="7"/>
      <c r="S1687" s="9">
        <f t="shared" si="300"/>
        <v>394</v>
      </c>
      <c r="T1687" s="10">
        <f t="shared" si="301"/>
        <v>0</v>
      </c>
      <c r="U1687" s="10"/>
    </row>
    <row r="1688" spans="1:21">
      <c r="A1688" s="6"/>
      <c r="B1688" s="11" t="s">
        <v>101</v>
      </c>
      <c r="C1688" s="7" t="s">
        <v>26</v>
      </c>
      <c r="D1688" s="7"/>
      <c r="E1688" s="7"/>
      <c r="F1688" s="7">
        <f t="shared" si="306"/>
        <v>408</v>
      </c>
      <c r="G1688" s="8"/>
      <c r="H1688" s="7">
        <f t="shared" si="304"/>
        <v>0</v>
      </c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9">
        <f t="shared" si="300"/>
        <v>408</v>
      </c>
      <c r="T1688" s="10">
        <f t="shared" si="301"/>
        <v>0</v>
      </c>
      <c r="U1688" s="10"/>
    </row>
    <row r="1689" spans="1:21">
      <c r="A1689" s="6"/>
      <c r="B1689" s="11" t="s">
        <v>102</v>
      </c>
      <c r="C1689" s="7" t="s">
        <v>26</v>
      </c>
      <c r="D1689" s="7"/>
      <c r="E1689" s="7"/>
      <c r="F1689" s="7">
        <f t="shared" si="306"/>
        <v>658</v>
      </c>
      <c r="G1689" s="8"/>
      <c r="H1689" s="7">
        <f t="shared" si="304"/>
        <v>0</v>
      </c>
      <c r="I1689" s="7"/>
      <c r="J1689" s="7">
        <v>240</v>
      </c>
      <c r="K1689" s="7"/>
      <c r="L1689" s="7"/>
      <c r="M1689" s="7"/>
      <c r="N1689" s="7"/>
      <c r="O1689" s="7"/>
      <c r="P1689" s="7"/>
      <c r="Q1689" s="7"/>
      <c r="R1689" s="7"/>
      <c r="S1689" s="9">
        <f t="shared" si="300"/>
        <v>418</v>
      </c>
      <c r="T1689" s="10">
        <f t="shared" si="301"/>
        <v>0</v>
      </c>
      <c r="U1689" s="10"/>
    </row>
    <row r="1690" spans="1:21">
      <c r="A1690" s="6"/>
      <c r="B1690" s="11" t="s">
        <v>103</v>
      </c>
      <c r="C1690" s="7" t="s">
        <v>26</v>
      </c>
      <c r="D1690" s="7"/>
      <c r="E1690" s="7"/>
      <c r="F1690" s="7">
        <f t="shared" si="306"/>
        <v>326</v>
      </c>
      <c r="G1690" s="8"/>
      <c r="H1690" s="7">
        <f t="shared" si="304"/>
        <v>0</v>
      </c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9">
        <f t="shared" si="300"/>
        <v>326</v>
      </c>
      <c r="T1690" s="10">
        <f t="shared" si="301"/>
        <v>0</v>
      </c>
      <c r="U1690" s="10"/>
    </row>
    <row r="1691" spans="1:21">
      <c r="A1691" s="6"/>
      <c r="B1691" s="11" t="s">
        <v>112</v>
      </c>
      <c r="C1691" s="7" t="s">
        <v>113</v>
      </c>
      <c r="D1691" s="7"/>
      <c r="E1691" s="7"/>
      <c r="F1691" s="7">
        <f t="shared" si="306"/>
        <v>1200</v>
      </c>
      <c r="G1691" s="8"/>
      <c r="H1691" s="7">
        <f t="shared" si="304"/>
        <v>0</v>
      </c>
      <c r="I1691" s="7"/>
      <c r="J1691" s="7">
        <v>30</v>
      </c>
      <c r="K1691" s="7">
        <v>20</v>
      </c>
      <c r="L1691" s="7"/>
      <c r="M1691" s="7"/>
      <c r="N1691" s="7"/>
      <c r="O1691" s="7"/>
      <c r="P1691" s="7"/>
      <c r="Q1691" s="7"/>
      <c r="R1691" s="7"/>
      <c r="S1691" s="9">
        <f t="shared" si="300"/>
        <v>1150</v>
      </c>
      <c r="T1691" s="10">
        <f t="shared" si="301"/>
        <v>0</v>
      </c>
      <c r="U1691" s="10"/>
    </row>
    <row r="1692" spans="1:21">
      <c r="A1692" s="6"/>
      <c r="B1692" s="11"/>
      <c r="C1692" s="7"/>
      <c r="D1692" s="7"/>
      <c r="E1692" s="7"/>
      <c r="F1692" s="7">
        <f t="shared" si="306"/>
        <v>0</v>
      </c>
      <c r="G1692" s="8"/>
      <c r="H1692" s="7">
        <f t="shared" si="304"/>
        <v>0</v>
      </c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9">
        <f t="shared" si="300"/>
        <v>0</v>
      </c>
      <c r="T1692" s="10">
        <f t="shared" si="301"/>
        <v>0</v>
      </c>
      <c r="U1692" s="10"/>
    </row>
    <row r="1693" spans="1:21">
      <c r="A1693" s="6"/>
      <c r="B1693" s="11"/>
      <c r="C1693" s="7"/>
      <c r="D1693" s="7"/>
      <c r="E1693" s="7"/>
      <c r="F1693" s="7">
        <f t="shared" si="306"/>
        <v>0</v>
      </c>
      <c r="G1693" s="8"/>
      <c r="H1693" s="7">
        <f t="shared" si="304"/>
        <v>0</v>
      </c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9">
        <f t="shared" si="300"/>
        <v>0</v>
      </c>
      <c r="T1693" s="10">
        <f t="shared" si="301"/>
        <v>0</v>
      </c>
      <c r="U1693" s="10"/>
    </row>
    <row r="1694" spans="1:21">
      <c r="A1694" s="6"/>
      <c r="B1694" s="11"/>
      <c r="C1694" s="7"/>
      <c r="D1694" s="7"/>
      <c r="E1694" s="7"/>
      <c r="F1694" s="7">
        <f t="shared" si="306"/>
        <v>0</v>
      </c>
      <c r="G1694" s="8"/>
      <c r="H1694" s="7">
        <f t="shared" si="304"/>
        <v>0</v>
      </c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9">
        <f t="shared" si="300"/>
        <v>0</v>
      </c>
      <c r="T1694" s="10">
        <f t="shared" si="301"/>
        <v>0</v>
      </c>
      <c r="U1694" s="10"/>
    </row>
    <row r="1695" spans="1:21">
      <c r="A1695" s="6"/>
      <c r="B1695" s="11"/>
      <c r="C1695" s="7"/>
      <c r="D1695" s="7"/>
      <c r="E1695" s="7"/>
      <c r="F1695" s="7">
        <f t="shared" si="306"/>
        <v>0</v>
      </c>
      <c r="G1695" s="8"/>
      <c r="H1695" s="7">
        <f t="shared" si="304"/>
        <v>0</v>
      </c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9">
        <f t="shared" si="300"/>
        <v>0</v>
      </c>
      <c r="T1695" s="10">
        <f t="shared" si="301"/>
        <v>0</v>
      </c>
      <c r="U1695" s="10"/>
    </row>
    <row r="1696" spans="1:21">
      <c r="A1696" s="6"/>
      <c r="B1696" s="11"/>
      <c r="C1696" s="7"/>
      <c r="D1696" s="7"/>
      <c r="E1696" s="7"/>
      <c r="F1696" s="7">
        <f t="shared" si="306"/>
        <v>0</v>
      </c>
      <c r="G1696" s="8"/>
      <c r="H1696" s="7">
        <f t="shared" si="304"/>
        <v>0</v>
      </c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9">
        <f t="shared" si="300"/>
        <v>0</v>
      </c>
      <c r="T1696" s="10">
        <f t="shared" si="301"/>
        <v>0</v>
      </c>
      <c r="U1696" s="10"/>
    </row>
    <row r="1697" spans="1:25">
      <c r="A1697" s="6"/>
      <c r="B1697" s="11"/>
      <c r="C1697" s="7"/>
      <c r="D1697" s="7"/>
      <c r="E1697" s="7"/>
      <c r="F1697" s="7">
        <f t="shared" si="306"/>
        <v>0</v>
      </c>
      <c r="G1697" s="8"/>
      <c r="H1697" s="7">
        <f t="shared" si="304"/>
        <v>0</v>
      </c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9">
        <f t="shared" si="300"/>
        <v>0</v>
      </c>
      <c r="T1697" s="10">
        <f t="shared" si="301"/>
        <v>0</v>
      </c>
      <c r="U1697" s="10"/>
    </row>
    <row r="1698" spans="1:25">
      <c r="A1698" s="6"/>
      <c r="B1698" s="11"/>
      <c r="C1698" s="7"/>
      <c r="D1698" s="7"/>
      <c r="E1698" s="7"/>
      <c r="F1698" s="7">
        <f t="shared" si="306"/>
        <v>0</v>
      </c>
      <c r="G1698" s="8"/>
      <c r="H1698" s="7">
        <f t="shared" si="304"/>
        <v>0</v>
      </c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9">
        <f t="shared" si="300"/>
        <v>0</v>
      </c>
      <c r="T1698" s="10">
        <f t="shared" si="301"/>
        <v>0</v>
      </c>
      <c r="U1698" s="10"/>
    </row>
    <row r="1699" spans="1:25">
      <c r="A1699" s="6"/>
      <c r="B1699" s="11"/>
      <c r="C1699" s="7"/>
      <c r="D1699" s="7"/>
      <c r="E1699" s="7"/>
      <c r="F1699" s="7">
        <f t="shared" si="306"/>
        <v>0</v>
      </c>
      <c r="G1699" s="8"/>
      <c r="H1699" s="7">
        <f t="shared" si="304"/>
        <v>0</v>
      </c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9">
        <f t="shared" si="300"/>
        <v>0</v>
      </c>
      <c r="T1699" s="10">
        <f t="shared" si="301"/>
        <v>0</v>
      </c>
      <c r="U1699" s="10"/>
    </row>
    <row r="1700" spans="1:25">
      <c r="A1700" s="6"/>
      <c r="B1700" s="11"/>
      <c r="C1700" s="7"/>
      <c r="D1700" s="7"/>
      <c r="E1700" s="7"/>
      <c r="F1700" s="7">
        <f t="shared" si="306"/>
        <v>0</v>
      </c>
      <c r="G1700" s="8"/>
      <c r="H1700" s="7">
        <f t="shared" si="304"/>
        <v>0</v>
      </c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9">
        <f t="shared" si="300"/>
        <v>0</v>
      </c>
      <c r="T1700" s="10">
        <f t="shared" si="301"/>
        <v>0</v>
      </c>
      <c r="U1700" s="10"/>
    </row>
    <row r="1701" spans="1:25">
      <c r="A1701" s="6"/>
      <c r="B1701" s="11"/>
      <c r="C1701" s="7"/>
      <c r="D1701" s="7"/>
      <c r="E1701" s="7"/>
      <c r="F1701" s="7">
        <f t="shared" si="306"/>
        <v>0</v>
      </c>
      <c r="G1701" s="8"/>
      <c r="H1701" s="7">
        <f t="shared" si="304"/>
        <v>0</v>
      </c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9">
        <f t="shared" si="300"/>
        <v>0</v>
      </c>
      <c r="T1701" s="10">
        <f t="shared" si="301"/>
        <v>0</v>
      </c>
      <c r="U1701" s="10"/>
      <c r="V1701">
        <f>X1701*0.1</f>
        <v>0</v>
      </c>
      <c r="W1701">
        <f>E1701*S1701*1.5</f>
        <v>0</v>
      </c>
      <c r="X1701">
        <f>J1701+K1701</f>
        <v>0</v>
      </c>
      <c r="Y1701">
        <f>X1701*0.13</f>
        <v>0</v>
      </c>
    </row>
    <row r="1702" spans="1:25">
      <c r="A1702" s="6">
        <v>46163</v>
      </c>
      <c r="B1702" t="s">
        <v>25</v>
      </c>
      <c r="C1702" s="7" t="s">
        <v>26</v>
      </c>
      <c r="D1702" s="7"/>
      <c r="E1702" s="7"/>
      <c r="F1702" s="7">
        <f t="shared" ref="F1701:F1713" si="307">S1617</f>
        <v>809</v>
      </c>
      <c r="G1702" s="8"/>
      <c r="H1702" s="7">
        <f t="shared" si="304"/>
        <v>0</v>
      </c>
      <c r="I1702" s="7"/>
      <c r="J1702" s="7">
        <v>240</v>
      </c>
      <c r="K1702" s="7">
        <v>120</v>
      </c>
      <c r="L1702" s="7"/>
      <c r="M1702" s="7"/>
      <c r="N1702" s="7"/>
      <c r="O1702" s="7"/>
      <c r="P1702" s="7"/>
      <c r="Q1702" s="7"/>
      <c r="R1702" s="7"/>
      <c r="S1702" s="9">
        <f t="shared" si="300"/>
        <v>449</v>
      </c>
      <c r="T1702" s="10">
        <f t="shared" si="301"/>
        <v>0</v>
      </c>
      <c r="U1702" s="10"/>
      <c r="V1702">
        <f t="shared" ref="V1702:V1711" si="308">X1702*0.1</f>
        <v>36</v>
      </c>
      <c r="W1702">
        <f t="shared" ref="W1702:W1708" si="309">E1702*S1702*1.5</f>
        <v>0</v>
      </c>
      <c r="X1702">
        <f t="shared" ref="X1702:X1711" si="310">J1702+K1702</f>
        <v>360</v>
      </c>
      <c r="Y1702">
        <f t="shared" ref="Y1702:Y1711" si="311">X1702*0.13</f>
        <v>46.8</v>
      </c>
    </row>
    <row r="1703" spans="1:25">
      <c r="A1703" s="6"/>
      <c r="B1703" t="s">
        <v>27</v>
      </c>
      <c r="C1703" s="7" t="s">
        <v>26</v>
      </c>
      <c r="D1703" s="7"/>
      <c r="E1703" s="7"/>
      <c r="F1703" s="7">
        <f t="shared" si="307"/>
        <v>729</v>
      </c>
      <c r="G1703" s="8"/>
      <c r="H1703" s="7">
        <f t="shared" si="304"/>
        <v>0</v>
      </c>
      <c r="I1703" s="7"/>
      <c r="J1703" s="7"/>
      <c r="K1703" s="7"/>
      <c r="L1703" s="7"/>
      <c r="M1703" s="7">
        <v>40</v>
      </c>
      <c r="N1703" s="7"/>
      <c r="O1703" s="7"/>
      <c r="P1703" s="7"/>
      <c r="Q1703" s="7"/>
      <c r="R1703" s="7"/>
      <c r="S1703" s="9">
        <f t="shared" si="300"/>
        <v>769</v>
      </c>
      <c r="T1703" s="10">
        <f t="shared" si="301"/>
        <v>0</v>
      </c>
      <c r="U1703" s="10"/>
      <c r="V1703">
        <f t="shared" si="308"/>
        <v>0</v>
      </c>
      <c r="W1703">
        <f t="shared" si="309"/>
        <v>0</v>
      </c>
      <c r="X1703">
        <f t="shared" si="310"/>
        <v>0</v>
      </c>
      <c r="Y1703">
        <f t="shared" si="311"/>
        <v>0</v>
      </c>
    </row>
    <row r="1704" spans="1:25">
      <c r="A1704" s="6"/>
      <c r="B1704" s="6" t="s">
        <v>28</v>
      </c>
      <c r="C1704" s="7" t="s">
        <v>26</v>
      </c>
      <c r="D1704" s="7"/>
      <c r="E1704" s="7"/>
      <c r="F1704" s="7">
        <f t="shared" si="307"/>
        <v>1146</v>
      </c>
      <c r="G1704" s="8"/>
      <c r="H1704" s="7">
        <f t="shared" si="304"/>
        <v>0</v>
      </c>
      <c r="I1704" s="7"/>
      <c r="J1704" s="7">
        <v>120</v>
      </c>
      <c r="K1704" s="7"/>
      <c r="L1704" s="7"/>
      <c r="M1704" s="7"/>
      <c r="N1704" s="7"/>
      <c r="O1704" s="7"/>
      <c r="P1704" s="7"/>
      <c r="Q1704" s="7"/>
      <c r="R1704" s="7"/>
      <c r="S1704" s="9">
        <f t="shared" si="300"/>
        <v>1026</v>
      </c>
      <c r="T1704" s="10">
        <f t="shared" si="301"/>
        <v>0</v>
      </c>
      <c r="U1704" s="10"/>
      <c r="V1704">
        <f t="shared" si="308"/>
        <v>12</v>
      </c>
      <c r="W1704">
        <f t="shared" si="309"/>
        <v>0</v>
      </c>
      <c r="X1704">
        <f t="shared" si="310"/>
        <v>120</v>
      </c>
      <c r="Y1704">
        <f t="shared" si="311"/>
        <v>15.6</v>
      </c>
    </row>
    <row r="1705" spans="1:25">
      <c r="A1705" s="6"/>
      <c r="B1705" s="6" t="s">
        <v>29</v>
      </c>
      <c r="C1705" s="7" t="s">
        <v>26</v>
      </c>
      <c r="D1705" s="7"/>
      <c r="E1705" s="7"/>
      <c r="F1705" s="7">
        <f t="shared" si="307"/>
        <v>318</v>
      </c>
      <c r="G1705" s="8"/>
      <c r="H1705" s="7">
        <f t="shared" si="304"/>
        <v>0</v>
      </c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9">
        <f t="shared" si="300"/>
        <v>318</v>
      </c>
      <c r="T1705" s="10">
        <f t="shared" si="301"/>
        <v>0</v>
      </c>
      <c r="U1705" s="10"/>
      <c r="V1705">
        <f t="shared" si="308"/>
        <v>0</v>
      </c>
      <c r="W1705">
        <f t="shared" si="309"/>
        <v>0</v>
      </c>
      <c r="X1705">
        <f t="shared" si="310"/>
        <v>0</v>
      </c>
      <c r="Y1705">
        <f t="shared" si="311"/>
        <v>0</v>
      </c>
    </row>
    <row r="1706" spans="1:25">
      <c r="A1706" s="6"/>
      <c r="B1706" s="6" t="s">
        <v>30</v>
      </c>
      <c r="C1706" s="7" t="s">
        <v>26</v>
      </c>
      <c r="D1706" s="7"/>
      <c r="E1706" s="7"/>
      <c r="F1706" s="7">
        <f t="shared" si="307"/>
        <v>2169</v>
      </c>
      <c r="G1706" s="8"/>
      <c r="H1706" s="7">
        <f t="shared" si="304"/>
        <v>0</v>
      </c>
      <c r="I1706" s="7"/>
      <c r="J1706" s="7">
        <v>120</v>
      </c>
      <c r="K1706" s="7">
        <v>65</v>
      </c>
      <c r="L1706" s="7"/>
      <c r="M1706" s="7"/>
      <c r="N1706" s="7"/>
      <c r="O1706" s="7"/>
      <c r="P1706" s="7"/>
      <c r="Q1706" s="7"/>
      <c r="R1706" s="7"/>
      <c r="S1706" s="9">
        <f t="shared" si="300"/>
        <v>1984</v>
      </c>
      <c r="T1706" s="10">
        <f t="shared" si="301"/>
        <v>0</v>
      </c>
      <c r="U1706" s="10"/>
      <c r="V1706">
        <f t="shared" si="308"/>
        <v>18.5</v>
      </c>
      <c r="W1706">
        <f t="shared" si="309"/>
        <v>0</v>
      </c>
      <c r="X1706">
        <f t="shared" si="310"/>
        <v>185</v>
      </c>
      <c r="Y1706">
        <f t="shared" si="311"/>
        <v>24.05</v>
      </c>
    </row>
    <row r="1707" spans="1:25">
      <c r="A1707" s="6"/>
      <c r="B1707" s="6" t="s">
        <v>31</v>
      </c>
      <c r="C1707" s="7" t="s">
        <v>26</v>
      </c>
      <c r="D1707" s="7"/>
      <c r="E1707" s="7"/>
      <c r="F1707" s="7">
        <f t="shared" si="307"/>
        <v>1631</v>
      </c>
      <c r="G1707" s="8"/>
      <c r="H1707" s="7">
        <f t="shared" si="304"/>
        <v>0</v>
      </c>
      <c r="I1707" s="7"/>
      <c r="J1707" s="7"/>
      <c r="K1707" s="7"/>
      <c r="L1707" s="7"/>
      <c r="M1707" s="7">
        <v>18</v>
      </c>
      <c r="N1707" s="7"/>
      <c r="O1707" s="7"/>
      <c r="P1707" s="7"/>
      <c r="Q1707" s="7"/>
      <c r="R1707" s="7"/>
      <c r="S1707" s="9">
        <f t="shared" si="300"/>
        <v>1649</v>
      </c>
      <c r="T1707" s="10">
        <f t="shared" si="301"/>
        <v>0</v>
      </c>
      <c r="U1707" s="10"/>
      <c r="V1707">
        <f t="shared" si="308"/>
        <v>0</v>
      </c>
      <c r="W1707">
        <f t="shared" si="309"/>
        <v>0</v>
      </c>
      <c r="X1707">
        <f t="shared" si="310"/>
        <v>0</v>
      </c>
      <c r="Y1707">
        <f t="shared" si="311"/>
        <v>0</v>
      </c>
    </row>
    <row r="1708" spans="1:25">
      <c r="A1708" s="6"/>
      <c r="B1708" s="6" t="s">
        <v>32</v>
      </c>
      <c r="C1708" s="7" t="s">
        <v>26</v>
      </c>
      <c r="D1708" s="7"/>
      <c r="E1708" s="7"/>
      <c r="F1708" s="7">
        <f t="shared" si="307"/>
        <v>1241</v>
      </c>
      <c r="G1708" s="8"/>
      <c r="H1708" s="7">
        <f t="shared" si="304"/>
        <v>0</v>
      </c>
      <c r="I1708" s="7"/>
      <c r="J1708" s="7">
        <v>120</v>
      </c>
      <c r="K1708" s="7">
        <v>30</v>
      </c>
      <c r="L1708" s="7"/>
      <c r="M1708" s="7">
        <v>1</v>
      </c>
      <c r="N1708" s="7"/>
      <c r="O1708" s="7"/>
      <c r="P1708" s="7"/>
      <c r="Q1708" s="7"/>
      <c r="R1708" s="7"/>
      <c r="S1708" s="9">
        <f t="shared" si="300"/>
        <v>1092</v>
      </c>
      <c r="T1708" s="10">
        <f t="shared" si="301"/>
        <v>0</v>
      </c>
      <c r="U1708" s="10"/>
      <c r="V1708">
        <f t="shared" si="308"/>
        <v>15</v>
      </c>
      <c r="W1708">
        <f t="shared" si="309"/>
        <v>0</v>
      </c>
      <c r="X1708">
        <f t="shared" si="310"/>
        <v>150</v>
      </c>
      <c r="Y1708">
        <f t="shared" si="311"/>
        <v>19.5</v>
      </c>
    </row>
    <row r="1709" spans="1:25">
      <c r="A1709" s="6"/>
      <c r="B1709" s="6" t="s">
        <v>33</v>
      </c>
      <c r="C1709" s="7" t="s">
        <v>26</v>
      </c>
      <c r="D1709" s="7"/>
      <c r="E1709" s="7"/>
      <c r="F1709" s="7">
        <f t="shared" si="307"/>
        <v>1710</v>
      </c>
      <c r="G1709" s="8"/>
      <c r="H1709" s="7">
        <f t="shared" si="304"/>
        <v>0</v>
      </c>
      <c r="I1709" s="7"/>
      <c r="J1709" s="7"/>
      <c r="K1709" s="7"/>
      <c r="L1709" s="7"/>
      <c r="M1709" s="7">
        <v>24</v>
      </c>
      <c r="N1709" s="7"/>
      <c r="O1709" s="7"/>
      <c r="P1709" s="7"/>
      <c r="Q1709" s="7"/>
      <c r="R1709" s="7"/>
      <c r="S1709" s="9">
        <f t="shared" si="300"/>
        <v>1734</v>
      </c>
      <c r="T1709" s="10">
        <f t="shared" si="301"/>
        <v>0</v>
      </c>
      <c r="U1709" s="10"/>
    </row>
    <row r="1710" spans="1:25">
      <c r="A1710" s="6"/>
      <c r="B1710" s="11" t="s">
        <v>34</v>
      </c>
      <c r="C1710" s="7" t="s">
        <v>26</v>
      </c>
      <c r="D1710" s="7"/>
      <c r="E1710" s="7"/>
      <c r="F1710" s="7">
        <f t="shared" si="307"/>
        <v>17</v>
      </c>
      <c r="G1710" s="8"/>
      <c r="H1710" s="7">
        <f t="shared" si="304"/>
        <v>0</v>
      </c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9">
        <f t="shared" si="300"/>
        <v>17</v>
      </c>
      <c r="T1710" s="10">
        <f t="shared" si="301"/>
        <v>0</v>
      </c>
      <c r="U1710" s="10"/>
    </row>
    <row r="1711" spans="1:25">
      <c r="A1711" s="6"/>
      <c r="B1711" s="11" t="s">
        <v>35</v>
      </c>
      <c r="C1711" s="7" t="s">
        <v>26</v>
      </c>
      <c r="D1711" s="7"/>
      <c r="E1711" s="7"/>
      <c r="F1711" s="7">
        <f t="shared" si="307"/>
        <v>120</v>
      </c>
      <c r="G1711" s="8"/>
      <c r="H1711" s="7">
        <f t="shared" si="304"/>
        <v>0</v>
      </c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9">
        <f t="shared" si="300"/>
        <v>120</v>
      </c>
      <c r="T1711" s="10">
        <f t="shared" si="301"/>
        <v>0</v>
      </c>
      <c r="U1711" s="10"/>
    </row>
    <row r="1712" spans="1:25">
      <c r="A1712" s="6"/>
      <c r="B1712" s="11" t="s">
        <v>36</v>
      </c>
      <c r="C1712" s="7" t="s">
        <v>26</v>
      </c>
      <c r="D1712" s="7"/>
      <c r="E1712" s="7"/>
      <c r="F1712" s="7">
        <f t="shared" si="307"/>
        <v>6662</v>
      </c>
      <c r="G1712" s="8"/>
      <c r="H1712" s="7">
        <f t="shared" si="304"/>
        <v>0</v>
      </c>
      <c r="I1712" s="7"/>
      <c r="J1712" s="7">
        <v>200</v>
      </c>
      <c r="K1712" s="7">
        <v>100</v>
      </c>
      <c r="L1712" s="7"/>
      <c r="M1712" s="7"/>
      <c r="N1712" s="7"/>
      <c r="O1712" s="7"/>
      <c r="P1712" s="18"/>
      <c r="Q1712" s="7"/>
      <c r="R1712" s="7"/>
      <c r="S1712" s="9">
        <f t="shared" ref="S1712:S1775" si="312">F1712+G1712-J1712-K1712-L1712+M1712+O1712-P1712-R1712</f>
        <v>6362</v>
      </c>
      <c r="T1712" s="10">
        <f t="shared" ref="T1712:T1775" si="313">H1712+I1712+N1712+R1712-Q1712</f>
        <v>0</v>
      </c>
      <c r="U1712" s="10"/>
    </row>
    <row r="1713" spans="1:21">
      <c r="A1713" s="6"/>
      <c r="B1713" s="11" t="s">
        <v>37</v>
      </c>
      <c r="C1713" s="7" t="s">
        <v>26</v>
      </c>
      <c r="D1713" s="7"/>
      <c r="E1713" s="7"/>
      <c r="F1713" s="7">
        <f t="shared" si="307"/>
        <v>1404</v>
      </c>
      <c r="G1713" s="8"/>
      <c r="H1713" s="7">
        <f t="shared" si="304"/>
        <v>0</v>
      </c>
      <c r="I1713" s="7"/>
      <c r="J1713" s="7"/>
      <c r="K1713" s="7"/>
      <c r="L1713" s="7"/>
      <c r="M1713" s="7">
        <v>107</v>
      </c>
      <c r="N1713" s="7"/>
      <c r="O1713" s="7"/>
      <c r="P1713" s="7"/>
      <c r="Q1713" s="7"/>
      <c r="R1713" s="7"/>
      <c r="S1713" s="9">
        <f t="shared" si="312"/>
        <v>1511</v>
      </c>
      <c r="T1713" s="10">
        <f t="shared" si="313"/>
        <v>0</v>
      </c>
      <c r="U1713" s="10"/>
    </row>
    <row r="1714" spans="1:21">
      <c r="A1714" s="6"/>
      <c r="B1714" s="11" t="s">
        <v>38</v>
      </c>
      <c r="C1714" s="7" t="s">
        <v>26</v>
      </c>
      <c r="D1714" s="7"/>
      <c r="E1714" s="7"/>
      <c r="F1714" s="7">
        <f t="shared" ref="F1714:F1726" si="314">S1629</f>
        <v>0</v>
      </c>
      <c r="G1714" s="8"/>
      <c r="H1714" s="7">
        <f t="shared" si="304"/>
        <v>0</v>
      </c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9">
        <f t="shared" si="312"/>
        <v>0</v>
      </c>
      <c r="T1714" s="10">
        <f t="shared" si="313"/>
        <v>0</v>
      </c>
      <c r="U1714" s="10"/>
    </row>
    <row r="1715" spans="1:21">
      <c r="A1715" s="6"/>
      <c r="B1715" s="11" t="s">
        <v>39</v>
      </c>
      <c r="C1715" s="7" t="s">
        <v>26</v>
      </c>
      <c r="D1715" s="7"/>
      <c r="E1715" s="7"/>
      <c r="F1715" s="7">
        <f t="shared" si="314"/>
        <v>1876</v>
      </c>
      <c r="G1715" s="8"/>
      <c r="H1715" s="7">
        <f t="shared" si="304"/>
        <v>0</v>
      </c>
      <c r="I1715" s="7"/>
      <c r="J1715" s="7"/>
      <c r="K1715" s="7"/>
      <c r="L1715" s="7"/>
      <c r="M1715" s="7">
        <v>37</v>
      </c>
      <c r="N1715" s="7"/>
      <c r="O1715" s="7"/>
      <c r="P1715" s="7"/>
      <c r="Q1715" s="7"/>
      <c r="R1715" s="7"/>
      <c r="S1715" s="9">
        <f t="shared" si="312"/>
        <v>1913</v>
      </c>
      <c r="T1715" s="10">
        <f t="shared" si="313"/>
        <v>0</v>
      </c>
      <c r="U1715" s="10"/>
    </row>
    <row r="1716" spans="1:21">
      <c r="A1716" s="6"/>
      <c r="B1716" s="11" t="s">
        <v>40</v>
      </c>
      <c r="C1716" s="7" t="s">
        <v>41</v>
      </c>
      <c r="D1716" s="7"/>
      <c r="E1716" s="7"/>
      <c r="F1716" s="7">
        <f t="shared" si="314"/>
        <v>0</v>
      </c>
      <c r="G1716" s="8"/>
      <c r="H1716" s="7">
        <f t="shared" si="304"/>
        <v>0</v>
      </c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9">
        <f t="shared" si="312"/>
        <v>0</v>
      </c>
      <c r="T1716" s="10">
        <f t="shared" si="313"/>
        <v>0</v>
      </c>
      <c r="U1716" s="10"/>
    </row>
    <row r="1717" spans="1:21">
      <c r="A1717" s="6"/>
      <c r="B1717" s="11" t="s">
        <v>42</v>
      </c>
      <c r="C1717" s="7" t="s">
        <v>41</v>
      </c>
      <c r="D1717" s="7"/>
      <c r="E1717" s="7"/>
      <c r="F1717" s="7">
        <f t="shared" si="314"/>
        <v>53</v>
      </c>
      <c r="G1717" s="8"/>
      <c r="H1717" s="7">
        <f t="shared" si="304"/>
        <v>0</v>
      </c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9">
        <f t="shared" si="312"/>
        <v>53</v>
      </c>
      <c r="T1717" s="10">
        <f t="shared" si="313"/>
        <v>0</v>
      </c>
      <c r="U1717" s="10"/>
    </row>
    <row r="1718" spans="1:21">
      <c r="A1718" s="6"/>
      <c r="B1718" s="11" t="s">
        <v>43</v>
      </c>
      <c r="C1718" s="7" t="s">
        <v>41</v>
      </c>
      <c r="D1718" s="7"/>
      <c r="E1718" s="7"/>
      <c r="F1718" s="7">
        <f t="shared" si="314"/>
        <v>0</v>
      </c>
      <c r="G1718" s="8"/>
      <c r="H1718" s="7">
        <f t="shared" si="304"/>
        <v>0</v>
      </c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9">
        <f t="shared" si="312"/>
        <v>0</v>
      </c>
      <c r="T1718" s="10">
        <f t="shared" si="313"/>
        <v>0</v>
      </c>
      <c r="U1718" s="10"/>
    </row>
    <row r="1719" spans="1:21">
      <c r="A1719" s="6"/>
      <c r="B1719" s="11" t="s">
        <v>44</v>
      </c>
      <c r="C1719" s="7" t="s">
        <v>41</v>
      </c>
      <c r="D1719" s="7"/>
      <c r="E1719" s="7"/>
      <c r="F1719" s="7">
        <f t="shared" si="314"/>
        <v>75</v>
      </c>
      <c r="G1719" s="8"/>
      <c r="H1719" s="7">
        <f t="shared" si="304"/>
        <v>0</v>
      </c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9">
        <f t="shared" si="312"/>
        <v>75</v>
      </c>
      <c r="T1719" s="10">
        <f t="shared" si="313"/>
        <v>0</v>
      </c>
      <c r="U1719" s="10"/>
    </row>
    <row r="1720" spans="1:21">
      <c r="A1720" s="6"/>
      <c r="B1720" s="11" t="s">
        <v>45</v>
      </c>
      <c r="C1720" s="7" t="s">
        <v>41</v>
      </c>
      <c r="D1720" s="7"/>
      <c r="E1720" s="7"/>
      <c r="F1720" s="7">
        <f t="shared" si="314"/>
        <v>0</v>
      </c>
      <c r="G1720" s="8"/>
      <c r="H1720" s="7">
        <f t="shared" si="304"/>
        <v>0</v>
      </c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9">
        <f t="shared" si="312"/>
        <v>0</v>
      </c>
      <c r="T1720" s="10">
        <f t="shared" si="313"/>
        <v>0</v>
      </c>
      <c r="U1720" s="10"/>
    </row>
    <row r="1721" spans="1:21">
      <c r="A1721" s="6"/>
      <c r="B1721" s="11" t="s">
        <v>46</v>
      </c>
      <c r="C1721" s="7" t="s">
        <v>41</v>
      </c>
      <c r="D1721" s="7"/>
      <c r="E1721" s="7"/>
      <c r="F1721" s="7">
        <f t="shared" si="314"/>
        <v>17</v>
      </c>
      <c r="G1721" s="8"/>
      <c r="H1721" s="7">
        <f t="shared" si="304"/>
        <v>0</v>
      </c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9">
        <f t="shared" si="312"/>
        <v>17</v>
      </c>
      <c r="T1721" s="10">
        <f t="shared" si="313"/>
        <v>0</v>
      </c>
      <c r="U1721" s="10"/>
    </row>
    <row r="1722" spans="1:21">
      <c r="A1722" s="6"/>
      <c r="B1722" s="11" t="s">
        <v>47</v>
      </c>
      <c r="C1722" s="7" t="s">
        <v>26</v>
      </c>
      <c r="D1722" s="7"/>
      <c r="E1722" s="7"/>
      <c r="F1722" s="7">
        <f t="shared" si="314"/>
        <v>0</v>
      </c>
      <c r="G1722" s="8"/>
      <c r="H1722" s="7">
        <f t="shared" si="304"/>
        <v>0</v>
      </c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9">
        <f t="shared" si="312"/>
        <v>0</v>
      </c>
      <c r="T1722" s="10">
        <f t="shared" si="313"/>
        <v>0</v>
      </c>
      <c r="U1722" s="10"/>
    </row>
    <row r="1723" spans="1:21">
      <c r="A1723" s="6"/>
      <c r="B1723" s="11" t="s">
        <v>48</v>
      </c>
      <c r="C1723" s="7" t="s">
        <v>26</v>
      </c>
      <c r="D1723" s="7"/>
      <c r="E1723" s="7"/>
      <c r="F1723" s="7">
        <f t="shared" si="314"/>
        <v>12622</v>
      </c>
      <c r="G1723" s="8"/>
      <c r="H1723" s="7">
        <f t="shared" si="304"/>
        <v>0</v>
      </c>
      <c r="I1723" s="7"/>
      <c r="J1723" s="7">
        <v>2700</v>
      </c>
      <c r="K1723" s="7"/>
      <c r="L1723" s="7"/>
      <c r="M1723" s="7"/>
      <c r="N1723" s="7"/>
      <c r="O1723" s="7"/>
      <c r="P1723" s="7"/>
      <c r="Q1723" s="7"/>
      <c r="R1723" s="7"/>
      <c r="S1723" s="9">
        <f t="shared" si="312"/>
        <v>9922</v>
      </c>
      <c r="T1723" s="10">
        <f t="shared" si="313"/>
        <v>0</v>
      </c>
      <c r="U1723" s="10" t="s">
        <v>124</v>
      </c>
    </row>
    <row r="1724" spans="1:21">
      <c r="A1724" s="6"/>
      <c r="B1724" s="11" t="s">
        <v>50</v>
      </c>
      <c r="C1724" s="7" t="s">
        <v>26</v>
      </c>
      <c r="D1724" s="7"/>
      <c r="E1724" s="7"/>
      <c r="F1724" s="7">
        <f t="shared" si="314"/>
        <v>0</v>
      </c>
      <c r="G1724" s="8"/>
      <c r="H1724" s="7">
        <f t="shared" si="304"/>
        <v>0</v>
      </c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9">
        <f t="shared" si="312"/>
        <v>0</v>
      </c>
      <c r="T1724" s="10">
        <f t="shared" si="313"/>
        <v>0</v>
      </c>
      <c r="U1724" s="10"/>
    </row>
    <row r="1725" spans="1:21">
      <c r="A1725" s="6"/>
      <c r="B1725" s="11" t="s">
        <v>51</v>
      </c>
      <c r="C1725" s="7" t="s">
        <v>26</v>
      </c>
      <c r="D1725" s="7"/>
      <c r="E1725" s="7"/>
      <c r="F1725" s="7">
        <f t="shared" si="314"/>
        <v>0</v>
      </c>
      <c r="G1725" s="8"/>
      <c r="H1725" s="7">
        <f t="shared" si="304"/>
        <v>0</v>
      </c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9">
        <f t="shared" si="312"/>
        <v>0</v>
      </c>
      <c r="T1725" s="10">
        <f t="shared" si="313"/>
        <v>0</v>
      </c>
      <c r="U1725" s="10"/>
    </row>
    <row r="1726" spans="1:21">
      <c r="A1726" s="6"/>
      <c r="B1726" s="11" t="s">
        <v>52</v>
      </c>
      <c r="C1726" s="7" t="s">
        <v>26</v>
      </c>
      <c r="D1726" s="7"/>
      <c r="E1726" s="7"/>
      <c r="F1726" s="7">
        <f t="shared" si="314"/>
        <v>909</v>
      </c>
      <c r="G1726" s="8"/>
      <c r="H1726" s="7">
        <f t="shared" si="304"/>
        <v>0</v>
      </c>
      <c r="I1726" s="7"/>
      <c r="J1726" s="7">
        <v>856</v>
      </c>
      <c r="K1726" s="7"/>
      <c r="L1726" s="7"/>
      <c r="M1726" s="7"/>
      <c r="N1726" s="7"/>
      <c r="O1726" s="7"/>
      <c r="P1726" s="7"/>
      <c r="Q1726" s="7"/>
      <c r="R1726" s="7"/>
      <c r="S1726" s="9">
        <f t="shared" si="312"/>
        <v>53</v>
      </c>
      <c r="T1726" s="10">
        <f t="shared" si="313"/>
        <v>0</v>
      </c>
      <c r="U1726" s="10"/>
    </row>
    <row r="1727" spans="1:21">
      <c r="A1727" s="6"/>
      <c r="B1727" s="11" t="s">
        <v>53</v>
      </c>
      <c r="C1727" s="7" t="s">
        <v>54</v>
      </c>
      <c r="D1727" s="7"/>
      <c r="E1727" s="7"/>
      <c r="F1727" s="7">
        <f t="shared" ref="F1727:F1745" si="315">S1642</f>
        <v>0</v>
      </c>
      <c r="G1727" s="8"/>
      <c r="H1727" s="7">
        <f t="shared" si="304"/>
        <v>0</v>
      </c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9">
        <f t="shared" si="312"/>
        <v>0</v>
      </c>
      <c r="T1727" s="10">
        <f t="shared" si="313"/>
        <v>0</v>
      </c>
      <c r="U1727" s="10"/>
    </row>
    <row r="1728" spans="1:21">
      <c r="A1728" s="6"/>
      <c r="B1728" s="11" t="s">
        <v>55</v>
      </c>
      <c r="C1728" s="7" t="s">
        <v>54</v>
      </c>
      <c r="D1728" s="7"/>
      <c r="E1728" s="7"/>
      <c r="F1728" s="7">
        <f t="shared" si="315"/>
        <v>15</v>
      </c>
      <c r="G1728" s="8"/>
      <c r="H1728" s="7">
        <f t="shared" si="304"/>
        <v>0</v>
      </c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9">
        <f t="shared" si="312"/>
        <v>15</v>
      </c>
      <c r="T1728" s="10">
        <f t="shared" si="313"/>
        <v>0</v>
      </c>
      <c r="U1728" s="10"/>
    </row>
    <row r="1729" spans="1:21">
      <c r="A1729" s="6"/>
      <c r="B1729" s="11" t="s">
        <v>56</v>
      </c>
      <c r="C1729" s="7" t="s">
        <v>54</v>
      </c>
      <c r="D1729" s="7"/>
      <c r="E1729" s="7"/>
      <c r="F1729" s="7">
        <f t="shared" si="315"/>
        <v>1403</v>
      </c>
      <c r="G1729" s="8"/>
      <c r="H1729" s="7">
        <f t="shared" si="304"/>
        <v>0</v>
      </c>
      <c r="I1729" s="7"/>
      <c r="J1729" s="7">
        <v>180</v>
      </c>
      <c r="K1729" s="7"/>
      <c r="L1729" s="7"/>
      <c r="M1729" s="7"/>
      <c r="N1729" s="7"/>
      <c r="O1729" s="7"/>
      <c r="P1729" s="7"/>
      <c r="Q1729" s="7"/>
      <c r="R1729" s="7"/>
      <c r="S1729" s="9">
        <f t="shared" si="312"/>
        <v>1223</v>
      </c>
      <c r="T1729" s="10">
        <f t="shared" si="313"/>
        <v>0</v>
      </c>
      <c r="U1729" s="10"/>
    </row>
    <row r="1730" spans="1:21">
      <c r="A1730" s="6"/>
      <c r="B1730" s="11" t="s">
        <v>57</v>
      </c>
      <c r="C1730" s="7" t="s">
        <v>54</v>
      </c>
      <c r="D1730" s="7"/>
      <c r="E1730" s="7"/>
      <c r="F1730" s="7">
        <f t="shared" si="315"/>
        <v>141</v>
      </c>
      <c r="G1730" s="8"/>
      <c r="H1730" s="7">
        <f t="shared" si="304"/>
        <v>0</v>
      </c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9">
        <f t="shared" si="312"/>
        <v>141</v>
      </c>
      <c r="T1730" s="10">
        <f t="shared" si="313"/>
        <v>0</v>
      </c>
      <c r="U1730" s="10"/>
    </row>
    <row r="1731" spans="1:21">
      <c r="A1731" s="6"/>
      <c r="B1731" s="11" t="s">
        <v>58</v>
      </c>
      <c r="C1731" s="7" t="s">
        <v>54</v>
      </c>
      <c r="D1731" s="7"/>
      <c r="E1731" s="7"/>
      <c r="F1731" s="7">
        <f t="shared" si="315"/>
        <v>0</v>
      </c>
      <c r="G1731" s="8"/>
      <c r="H1731" s="7">
        <f t="shared" si="304"/>
        <v>0</v>
      </c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9">
        <f t="shared" si="312"/>
        <v>0</v>
      </c>
      <c r="T1731" s="10">
        <f t="shared" si="313"/>
        <v>0</v>
      </c>
      <c r="U1731" s="10"/>
    </row>
    <row r="1732" spans="1:21">
      <c r="A1732" s="6"/>
      <c r="B1732" s="11" t="s">
        <v>59</v>
      </c>
      <c r="C1732" s="7" t="s">
        <v>54</v>
      </c>
      <c r="D1732" s="7"/>
      <c r="E1732" s="7"/>
      <c r="F1732" s="7">
        <f t="shared" si="315"/>
        <v>19</v>
      </c>
      <c r="G1732" s="8"/>
      <c r="H1732" s="7">
        <f t="shared" si="304"/>
        <v>0</v>
      </c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9">
        <f t="shared" si="312"/>
        <v>19</v>
      </c>
      <c r="T1732" s="10">
        <f t="shared" si="313"/>
        <v>0</v>
      </c>
      <c r="U1732" s="10"/>
    </row>
    <row r="1733" spans="1:21">
      <c r="A1733" s="6"/>
      <c r="B1733" s="11" t="s">
        <v>60</v>
      </c>
      <c r="C1733" s="7" t="s">
        <v>61</v>
      </c>
      <c r="D1733" s="7"/>
      <c r="E1733" s="7"/>
      <c r="F1733" s="7">
        <f t="shared" si="315"/>
        <v>0</v>
      </c>
      <c r="G1733" s="8"/>
      <c r="H1733" s="7">
        <f t="shared" si="304"/>
        <v>0</v>
      </c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9">
        <f t="shared" si="312"/>
        <v>0</v>
      </c>
      <c r="T1733" s="10">
        <f t="shared" si="313"/>
        <v>0</v>
      </c>
      <c r="U1733" s="10"/>
    </row>
    <row r="1734" spans="1:21">
      <c r="A1734" s="6"/>
      <c r="B1734" s="11" t="s">
        <v>62</v>
      </c>
      <c r="C1734" s="7" t="s">
        <v>61</v>
      </c>
      <c r="D1734" s="7"/>
      <c r="E1734" s="7"/>
      <c r="F1734" s="7">
        <f t="shared" si="315"/>
        <v>11</v>
      </c>
      <c r="G1734" s="8"/>
      <c r="H1734" s="7">
        <f t="shared" si="304"/>
        <v>0</v>
      </c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9">
        <f t="shared" si="312"/>
        <v>11</v>
      </c>
      <c r="T1734" s="10">
        <f t="shared" si="313"/>
        <v>0</v>
      </c>
      <c r="U1734" s="10"/>
    </row>
    <row r="1735" spans="1:21">
      <c r="A1735" s="6"/>
      <c r="B1735" s="10" t="s">
        <v>63</v>
      </c>
      <c r="C1735" s="10" t="s">
        <v>41</v>
      </c>
      <c r="D1735" s="7"/>
      <c r="E1735" s="7"/>
      <c r="F1735" s="7">
        <f t="shared" si="315"/>
        <v>0</v>
      </c>
      <c r="G1735" s="8"/>
      <c r="H1735" s="7">
        <f t="shared" si="304"/>
        <v>0</v>
      </c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9">
        <f t="shared" si="312"/>
        <v>0</v>
      </c>
      <c r="T1735" s="10">
        <f t="shared" si="313"/>
        <v>0</v>
      </c>
      <c r="U1735" s="10"/>
    </row>
    <row r="1736" spans="1:21">
      <c r="A1736" s="6"/>
      <c r="B1736" s="10" t="s">
        <v>64</v>
      </c>
      <c r="C1736" s="10" t="s">
        <v>41</v>
      </c>
      <c r="D1736" s="7"/>
      <c r="E1736" s="7"/>
      <c r="F1736" s="7">
        <f t="shared" si="315"/>
        <v>5</v>
      </c>
      <c r="G1736" s="8"/>
      <c r="H1736" s="7">
        <f t="shared" ref="H1736:H1796" si="316">T1651</f>
        <v>0</v>
      </c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9">
        <f t="shared" si="312"/>
        <v>5</v>
      </c>
      <c r="T1736" s="10">
        <f t="shared" si="313"/>
        <v>0</v>
      </c>
      <c r="U1736" s="10"/>
    </row>
    <row r="1737" spans="1:21">
      <c r="A1737" s="6"/>
      <c r="B1737" s="11" t="s">
        <v>65</v>
      </c>
      <c r="C1737" s="7" t="s">
        <v>26</v>
      </c>
      <c r="D1737" s="7"/>
      <c r="E1737" s="7"/>
      <c r="F1737" s="7">
        <f t="shared" si="315"/>
        <v>0</v>
      </c>
      <c r="G1737" s="8"/>
      <c r="H1737" s="7">
        <f t="shared" si="316"/>
        <v>0</v>
      </c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9">
        <f t="shared" si="312"/>
        <v>0</v>
      </c>
      <c r="T1737" s="10">
        <f t="shared" si="313"/>
        <v>0</v>
      </c>
      <c r="U1737" s="10"/>
    </row>
    <row r="1738" spans="1:21">
      <c r="A1738" s="6"/>
      <c r="B1738" s="11" t="s">
        <v>66</v>
      </c>
      <c r="C1738" s="7" t="s">
        <v>26</v>
      </c>
      <c r="D1738" s="7"/>
      <c r="E1738" s="7"/>
      <c r="F1738" s="7">
        <f t="shared" si="315"/>
        <v>71</v>
      </c>
      <c r="G1738" s="8"/>
      <c r="H1738" s="7">
        <f t="shared" si="316"/>
        <v>0</v>
      </c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9">
        <f t="shared" si="312"/>
        <v>71</v>
      </c>
      <c r="T1738" s="10">
        <f t="shared" si="313"/>
        <v>0</v>
      </c>
      <c r="U1738" s="10"/>
    </row>
    <row r="1739" spans="1:21">
      <c r="A1739" s="6"/>
      <c r="B1739" s="11" t="s">
        <v>67</v>
      </c>
      <c r="C1739" s="7" t="s">
        <v>26</v>
      </c>
      <c r="D1739" s="7"/>
      <c r="E1739" s="7"/>
      <c r="F1739" s="7">
        <f t="shared" si="315"/>
        <v>0</v>
      </c>
      <c r="G1739" s="8"/>
      <c r="H1739" s="7">
        <f t="shared" si="316"/>
        <v>0</v>
      </c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9">
        <f t="shared" si="312"/>
        <v>0</v>
      </c>
      <c r="T1739" s="10">
        <f t="shared" si="313"/>
        <v>0</v>
      </c>
      <c r="U1739" s="10"/>
    </row>
    <row r="1740" spans="1:21">
      <c r="A1740" s="6"/>
      <c r="B1740" s="11" t="s">
        <v>68</v>
      </c>
      <c r="C1740" s="7" t="s">
        <v>26</v>
      </c>
      <c r="D1740" s="7"/>
      <c r="E1740" s="7"/>
      <c r="F1740" s="7">
        <f t="shared" si="315"/>
        <v>7</v>
      </c>
      <c r="G1740" s="8"/>
      <c r="H1740" s="7">
        <f t="shared" si="316"/>
        <v>0</v>
      </c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9">
        <f t="shared" si="312"/>
        <v>7</v>
      </c>
      <c r="T1740" s="10">
        <f t="shared" si="313"/>
        <v>0</v>
      </c>
      <c r="U1740" s="10"/>
    </row>
    <row r="1741" spans="1:21">
      <c r="A1741" s="6"/>
      <c r="B1741" s="11" t="s">
        <v>69</v>
      </c>
      <c r="C1741" s="7" t="s">
        <v>41</v>
      </c>
      <c r="D1741" s="7"/>
      <c r="E1741" s="7"/>
      <c r="F1741" s="7">
        <f t="shared" ref="F1741:F1755" si="317">S1656</f>
        <v>0</v>
      </c>
      <c r="G1741" s="8"/>
      <c r="H1741" s="7">
        <f t="shared" si="316"/>
        <v>0</v>
      </c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9">
        <f t="shared" si="312"/>
        <v>0</v>
      </c>
      <c r="T1741" s="10">
        <f t="shared" si="313"/>
        <v>0</v>
      </c>
      <c r="U1741" s="10"/>
    </row>
    <row r="1742" spans="1:21">
      <c r="A1742" s="6"/>
      <c r="B1742" s="11" t="s">
        <v>70</v>
      </c>
      <c r="C1742" s="7" t="s">
        <v>41</v>
      </c>
      <c r="D1742" s="7"/>
      <c r="E1742" s="7"/>
      <c r="F1742" s="7">
        <f t="shared" si="317"/>
        <v>13</v>
      </c>
      <c r="G1742" s="8"/>
      <c r="H1742" s="7">
        <f t="shared" si="316"/>
        <v>0</v>
      </c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9">
        <f t="shared" si="312"/>
        <v>13</v>
      </c>
      <c r="T1742" s="10">
        <f t="shared" si="313"/>
        <v>0</v>
      </c>
      <c r="U1742" s="10"/>
    </row>
    <row r="1743" spans="1:21">
      <c r="A1743" s="6"/>
      <c r="B1743" s="11" t="s">
        <v>71</v>
      </c>
      <c r="C1743" s="7" t="s">
        <v>61</v>
      </c>
      <c r="D1743" s="7"/>
      <c r="E1743" s="7"/>
      <c r="F1743" s="7">
        <f t="shared" si="317"/>
        <v>0</v>
      </c>
      <c r="G1743" s="8"/>
      <c r="H1743" s="7">
        <f t="shared" si="316"/>
        <v>0</v>
      </c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9">
        <f t="shared" si="312"/>
        <v>0</v>
      </c>
      <c r="T1743" s="10">
        <f t="shared" si="313"/>
        <v>0</v>
      </c>
      <c r="U1743" s="10"/>
    </row>
    <row r="1744" spans="1:21">
      <c r="A1744" s="6"/>
      <c r="B1744" s="11" t="s">
        <v>72</v>
      </c>
      <c r="C1744" s="7" t="s">
        <v>61</v>
      </c>
      <c r="D1744" s="7"/>
      <c r="E1744" s="7"/>
      <c r="F1744" s="7">
        <f t="shared" si="317"/>
        <v>8</v>
      </c>
      <c r="G1744" s="8"/>
      <c r="H1744" s="7">
        <f t="shared" si="316"/>
        <v>0</v>
      </c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9">
        <f t="shared" si="312"/>
        <v>8</v>
      </c>
      <c r="T1744" s="10">
        <f t="shared" si="313"/>
        <v>0</v>
      </c>
      <c r="U1744" s="10"/>
    </row>
    <row r="1745" spans="1:21">
      <c r="A1745" s="6"/>
      <c r="B1745" s="11" t="s">
        <v>73</v>
      </c>
      <c r="C1745" s="7" t="s">
        <v>26</v>
      </c>
      <c r="D1745" s="7"/>
      <c r="E1745" s="7"/>
      <c r="F1745" s="7">
        <f t="shared" si="317"/>
        <v>0</v>
      </c>
      <c r="G1745" s="8"/>
      <c r="H1745" s="7">
        <f t="shared" si="316"/>
        <v>0</v>
      </c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9">
        <f t="shared" si="312"/>
        <v>0</v>
      </c>
      <c r="T1745" s="10">
        <f t="shared" si="313"/>
        <v>0</v>
      </c>
      <c r="U1745" s="10"/>
    </row>
    <row r="1746" spans="1:21">
      <c r="A1746" s="6"/>
      <c r="B1746" s="11" t="s">
        <v>74</v>
      </c>
      <c r="C1746" s="7" t="s">
        <v>26</v>
      </c>
      <c r="D1746" s="7"/>
      <c r="E1746" s="7"/>
      <c r="F1746" s="7">
        <f t="shared" si="317"/>
        <v>22</v>
      </c>
      <c r="G1746" s="8"/>
      <c r="H1746" s="7">
        <f t="shared" si="316"/>
        <v>0</v>
      </c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9">
        <f t="shared" si="312"/>
        <v>22</v>
      </c>
      <c r="T1746" s="10">
        <f t="shared" si="313"/>
        <v>0</v>
      </c>
      <c r="U1746" s="10"/>
    </row>
    <row r="1747" spans="1:21">
      <c r="A1747" s="6"/>
      <c r="B1747" s="11" t="s">
        <v>75</v>
      </c>
      <c r="C1747" s="7" t="s">
        <v>26</v>
      </c>
      <c r="D1747" s="7"/>
      <c r="E1747" s="7"/>
      <c r="F1747" s="7">
        <f t="shared" si="317"/>
        <v>0</v>
      </c>
      <c r="G1747" s="8"/>
      <c r="H1747" s="7">
        <f t="shared" si="316"/>
        <v>0</v>
      </c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9">
        <f t="shared" si="312"/>
        <v>0</v>
      </c>
      <c r="T1747" s="10">
        <f t="shared" si="313"/>
        <v>0</v>
      </c>
      <c r="U1747" s="10"/>
    </row>
    <row r="1748" spans="1:21">
      <c r="A1748" s="6"/>
      <c r="B1748" s="11" t="s">
        <v>76</v>
      </c>
      <c r="C1748" s="7" t="s">
        <v>26</v>
      </c>
      <c r="D1748" s="7"/>
      <c r="E1748" s="7"/>
      <c r="F1748" s="7">
        <f t="shared" si="317"/>
        <v>20</v>
      </c>
      <c r="G1748" s="8"/>
      <c r="H1748" s="7">
        <f t="shared" si="316"/>
        <v>0</v>
      </c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9">
        <f t="shared" si="312"/>
        <v>20</v>
      </c>
      <c r="T1748" s="10">
        <f t="shared" si="313"/>
        <v>0</v>
      </c>
      <c r="U1748" s="10"/>
    </row>
    <row r="1749" spans="1:21">
      <c r="A1749" s="6"/>
      <c r="B1749" s="11" t="s">
        <v>77</v>
      </c>
      <c r="C1749" s="7" t="s">
        <v>61</v>
      </c>
      <c r="D1749" s="7"/>
      <c r="E1749" s="7"/>
      <c r="F1749" s="7">
        <f t="shared" si="317"/>
        <v>0</v>
      </c>
      <c r="G1749" s="8"/>
      <c r="H1749" s="7">
        <f t="shared" si="316"/>
        <v>0</v>
      </c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9">
        <f t="shared" si="312"/>
        <v>0</v>
      </c>
      <c r="T1749" s="10">
        <f t="shared" si="313"/>
        <v>0</v>
      </c>
      <c r="U1749" s="10"/>
    </row>
    <row r="1750" spans="1:21">
      <c r="A1750" s="6"/>
      <c r="B1750" s="11" t="s">
        <v>78</v>
      </c>
      <c r="C1750" s="7" t="s">
        <v>61</v>
      </c>
      <c r="D1750" s="7"/>
      <c r="E1750" s="7"/>
      <c r="F1750" s="7">
        <f t="shared" si="317"/>
        <v>69</v>
      </c>
      <c r="G1750" s="8"/>
      <c r="H1750" s="7">
        <f t="shared" si="316"/>
        <v>0</v>
      </c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9">
        <f t="shared" si="312"/>
        <v>69</v>
      </c>
      <c r="T1750" s="10">
        <f t="shared" si="313"/>
        <v>0</v>
      </c>
      <c r="U1750" s="10"/>
    </row>
    <row r="1751" spans="1:21">
      <c r="A1751" s="6"/>
      <c r="B1751" s="11" t="s">
        <v>105</v>
      </c>
      <c r="C1751" s="7" t="s">
        <v>26</v>
      </c>
      <c r="D1751" s="7"/>
      <c r="E1751" s="7"/>
      <c r="F1751" s="7">
        <f t="shared" si="317"/>
        <v>1893</v>
      </c>
      <c r="G1751" s="8"/>
      <c r="H1751" s="7">
        <f t="shared" si="316"/>
        <v>0</v>
      </c>
      <c r="I1751" s="7"/>
      <c r="J1751" s="7">
        <v>120</v>
      </c>
      <c r="K1751" s="7"/>
      <c r="L1751" s="7"/>
      <c r="M1751" s="7"/>
      <c r="N1751" s="7"/>
      <c r="O1751" s="7"/>
      <c r="P1751" s="7"/>
      <c r="Q1751" s="7"/>
      <c r="R1751" s="7"/>
      <c r="S1751" s="9">
        <f t="shared" si="312"/>
        <v>1773</v>
      </c>
      <c r="T1751" s="10">
        <f t="shared" si="313"/>
        <v>0</v>
      </c>
      <c r="U1751" s="10"/>
    </row>
    <row r="1752" spans="1:21">
      <c r="A1752" s="6"/>
      <c r="B1752" s="11" t="s">
        <v>80</v>
      </c>
      <c r="C1752" s="7" t="s">
        <v>26</v>
      </c>
      <c r="D1752" s="7"/>
      <c r="E1752" s="7"/>
      <c r="F1752" s="7">
        <f t="shared" si="317"/>
        <v>441</v>
      </c>
      <c r="G1752" s="8"/>
      <c r="H1752" s="7">
        <f t="shared" si="316"/>
        <v>0</v>
      </c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9">
        <f t="shared" si="312"/>
        <v>441</v>
      </c>
      <c r="T1752" s="10">
        <f t="shared" si="313"/>
        <v>0</v>
      </c>
      <c r="U1752" s="10"/>
    </row>
    <row r="1753" spans="1:21">
      <c r="A1753" s="6"/>
      <c r="B1753" s="11" t="s">
        <v>81</v>
      </c>
      <c r="C1753" s="7" t="s">
        <v>26</v>
      </c>
      <c r="D1753" s="7"/>
      <c r="E1753" s="7"/>
      <c r="F1753" s="7">
        <f t="shared" ref="F1753:F1766" si="318">S1668</f>
        <v>0</v>
      </c>
      <c r="G1753" s="8"/>
      <c r="H1753" s="7">
        <f t="shared" si="316"/>
        <v>0</v>
      </c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9">
        <f t="shared" si="312"/>
        <v>0</v>
      </c>
      <c r="T1753" s="10">
        <f t="shared" si="313"/>
        <v>0</v>
      </c>
      <c r="U1753" s="10"/>
    </row>
    <row r="1754" spans="1:21">
      <c r="A1754" s="6"/>
      <c r="B1754" s="11" t="s">
        <v>82</v>
      </c>
      <c r="C1754" s="7" t="s">
        <v>26</v>
      </c>
      <c r="D1754" s="7"/>
      <c r="E1754" s="7"/>
      <c r="F1754" s="7">
        <f t="shared" si="318"/>
        <v>14</v>
      </c>
      <c r="G1754" s="8"/>
      <c r="H1754" s="7">
        <f t="shared" si="316"/>
        <v>0</v>
      </c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9">
        <f t="shared" si="312"/>
        <v>14</v>
      </c>
      <c r="T1754" s="10">
        <f t="shared" si="313"/>
        <v>0</v>
      </c>
      <c r="U1754" s="10"/>
    </row>
    <row r="1755" spans="1:21">
      <c r="A1755" s="6"/>
      <c r="B1755" s="11" t="s">
        <v>83</v>
      </c>
      <c r="C1755" s="7" t="s">
        <v>26</v>
      </c>
      <c r="D1755" s="7"/>
      <c r="E1755" s="7"/>
      <c r="F1755" s="7">
        <f t="shared" si="318"/>
        <v>0</v>
      </c>
      <c r="G1755" s="8"/>
      <c r="H1755" s="7">
        <f t="shared" si="316"/>
        <v>0</v>
      </c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9">
        <f t="shared" si="312"/>
        <v>0</v>
      </c>
      <c r="T1755" s="10">
        <f t="shared" si="313"/>
        <v>0</v>
      </c>
      <c r="U1755" s="10"/>
    </row>
    <row r="1756" spans="1:21">
      <c r="A1756" s="6"/>
      <c r="B1756" s="11" t="s">
        <v>84</v>
      </c>
      <c r="C1756" s="7" t="s">
        <v>26</v>
      </c>
      <c r="D1756" s="7"/>
      <c r="E1756" s="7"/>
      <c r="F1756" s="7">
        <f t="shared" si="318"/>
        <v>28</v>
      </c>
      <c r="G1756" s="8"/>
      <c r="H1756" s="7">
        <f t="shared" si="316"/>
        <v>0</v>
      </c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9">
        <f t="shared" si="312"/>
        <v>28</v>
      </c>
      <c r="T1756" s="10">
        <f t="shared" si="313"/>
        <v>0</v>
      </c>
      <c r="U1756" s="10"/>
    </row>
    <row r="1757" spans="1:21">
      <c r="A1757" s="6"/>
      <c r="B1757" s="11" t="s">
        <v>85</v>
      </c>
      <c r="C1757" s="7" t="s">
        <v>61</v>
      </c>
      <c r="D1757" s="7"/>
      <c r="E1757" s="7"/>
      <c r="F1757" s="7">
        <f t="shared" si="318"/>
        <v>0</v>
      </c>
      <c r="G1757" s="8"/>
      <c r="H1757" s="7">
        <f t="shared" si="316"/>
        <v>0</v>
      </c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9">
        <f t="shared" si="312"/>
        <v>0</v>
      </c>
      <c r="T1757" s="10">
        <f t="shared" si="313"/>
        <v>0</v>
      </c>
      <c r="U1757" s="10"/>
    </row>
    <row r="1758" spans="1:21">
      <c r="A1758" s="6"/>
      <c r="B1758" s="11" t="s">
        <v>86</v>
      </c>
      <c r="C1758" s="7" t="s">
        <v>61</v>
      </c>
      <c r="D1758" s="7"/>
      <c r="E1758" s="7"/>
      <c r="F1758" s="7">
        <f t="shared" si="318"/>
        <v>10</v>
      </c>
      <c r="G1758" s="8"/>
      <c r="H1758" s="7">
        <f t="shared" si="316"/>
        <v>0</v>
      </c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9">
        <f t="shared" si="312"/>
        <v>10</v>
      </c>
      <c r="T1758" s="10">
        <f t="shared" si="313"/>
        <v>0</v>
      </c>
      <c r="U1758" s="10"/>
    </row>
    <row r="1759" spans="1:21">
      <c r="A1759" s="6"/>
      <c r="B1759" s="11" t="s">
        <v>87</v>
      </c>
      <c r="C1759" s="7" t="s">
        <v>26</v>
      </c>
      <c r="D1759" s="7"/>
      <c r="E1759" s="7"/>
      <c r="F1759" s="7">
        <f t="shared" si="318"/>
        <v>0</v>
      </c>
      <c r="G1759" s="8"/>
      <c r="H1759" s="7">
        <f t="shared" si="316"/>
        <v>0</v>
      </c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9">
        <f t="shared" si="312"/>
        <v>0</v>
      </c>
      <c r="T1759" s="10">
        <f t="shared" si="313"/>
        <v>0</v>
      </c>
      <c r="U1759" s="10"/>
    </row>
    <row r="1760" spans="1:21">
      <c r="A1760" s="6"/>
      <c r="B1760" s="11" t="s">
        <v>88</v>
      </c>
      <c r="C1760" s="10"/>
      <c r="D1760" s="7"/>
      <c r="E1760" s="7"/>
      <c r="F1760" s="7">
        <f t="shared" si="318"/>
        <v>7</v>
      </c>
      <c r="G1760" s="8"/>
      <c r="H1760" s="7">
        <f t="shared" si="316"/>
        <v>0</v>
      </c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9">
        <f t="shared" si="312"/>
        <v>7</v>
      </c>
      <c r="T1760" s="10">
        <f t="shared" si="313"/>
        <v>0</v>
      </c>
      <c r="U1760" s="10"/>
    </row>
    <row r="1761" spans="1:21">
      <c r="A1761" s="6"/>
      <c r="B1761" s="11" t="s">
        <v>89</v>
      </c>
      <c r="C1761" s="7" t="s">
        <v>26</v>
      </c>
      <c r="D1761" s="7"/>
      <c r="E1761" s="7"/>
      <c r="F1761" s="7">
        <f t="shared" si="318"/>
        <v>858</v>
      </c>
      <c r="G1761" s="8"/>
      <c r="H1761" s="7">
        <f t="shared" si="316"/>
        <v>0</v>
      </c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9">
        <f t="shared" si="312"/>
        <v>858</v>
      </c>
      <c r="T1761" s="10">
        <f t="shared" si="313"/>
        <v>0</v>
      </c>
      <c r="U1761" s="10"/>
    </row>
    <row r="1762" spans="1:21">
      <c r="A1762" s="6"/>
      <c r="B1762" s="11" t="s">
        <v>90</v>
      </c>
      <c r="C1762" s="7" t="s">
        <v>26</v>
      </c>
      <c r="D1762" s="7"/>
      <c r="E1762" s="7"/>
      <c r="F1762" s="7">
        <f t="shared" ref="F1762:F1776" si="319">S1677</f>
        <v>0</v>
      </c>
      <c r="G1762" s="8"/>
      <c r="H1762" s="7">
        <f t="shared" si="316"/>
        <v>0</v>
      </c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9">
        <f t="shared" si="312"/>
        <v>0</v>
      </c>
      <c r="T1762" s="10">
        <f t="shared" si="313"/>
        <v>0</v>
      </c>
      <c r="U1762" s="10"/>
    </row>
    <row r="1763" spans="1:21">
      <c r="A1763" s="6"/>
      <c r="B1763" s="11" t="s">
        <v>91</v>
      </c>
      <c r="C1763" s="7" t="s">
        <v>26</v>
      </c>
      <c r="D1763" s="7"/>
      <c r="E1763" s="7"/>
      <c r="F1763" s="7">
        <f t="shared" si="319"/>
        <v>138</v>
      </c>
      <c r="G1763" s="8"/>
      <c r="H1763" s="7">
        <f t="shared" si="316"/>
        <v>0</v>
      </c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9">
        <f t="shared" si="312"/>
        <v>138</v>
      </c>
      <c r="T1763" s="10">
        <f t="shared" si="313"/>
        <v>0</v>
      </c>
      <c r="U1763" s="10"/>
    </row>
    <row r="1764" spans="1:21">
      <c r="A1764" s="6"/>
      <c r="B1764" s="12" t="s">
        <v>92</v>
      </c>
      <c r="C1764" s="13" t="s">
        <v>26</v>
      </c>
      <c r="D1764" s="7"/>
      <c r="E1764" s="7"/>
      <c r="F1764" s="7">
        <f t="shared" si="319"/>
        <v>324</v>
      </c>
      <c r="G1764" s="8">
        <v>5</v>
      </c>
      <c r="H1764" s="7">
        <f t="shared" si="316"/>
        <v>0</v>
      </c>
      <c r="I1764" s="7"/>
      <c r="J1764" s="7">
        <v>329</v>
      </c>
      <c r="K1764" s="7"/>
      <c r="L1764" s="7"/>
      <c r="M1764" s="7"/>
      <c r="N1764" s="7"/>
      <c r="O1764" s="7"/>
      <c r="P1764" s="7"/>
      <c r="Q1764" s="7"/>
      <c r="R1764" s="7"/>
      <c r="S1764" s="9">
        <f t="shared" si="312"/>
        <v>0</v>
      </c>
      <c r="T1764" s="10">
        <f t="shared" si="313"/>
        <v>0</v>
      </c>
      <c r="U1764" s="10"/>
    </row>
    <row r="1765" spans="1:21">
      <c r="A1765" s="6"/>
      <c r="B1765" s="12" t="s">
        <v>93</v>
      </c>
      <c r="C1765" s="13" t="s">
        <v>26</v>
      </c>
      <c r="D1765" s="7"/>
      <c r="E1765" s="7"/>
      <c r="F1765" s="7">
        <f t="shared" si="319"/>
        <v>3047</v>
      </c>
      <c r="G1765" s="8"/>
      <c r="H1765" s="7">
        <f t="shared" si="316"/>
        <v>0</v>
      </c>
      <c r="I1765" s="7"/>
      <c r="J1765" s="7"/>
      <c r="K1765" s="7"/>
      <c r="L1765" s="7"/>
      <c r="M1765" s="7">
        <v>206</v>
      </c>
      <c r="N1765" s="7"/>
      <c r="O1765" s="7"/>
      <c r="P1765" s="7">
        <v>120</v>
      </c>
      <c r="Q1765" s="7"/>
      <c r="R1765" s="7"/>
      <c r="S1765" s="9">
        <f t="shared" si="312"/>
        <v>3133</v>
      </c>
      <c r="T1765" s="10">
        <f t="shared" si="313"/>
        <v>0</v>
      </c>
      <c r="U1765" s="10"/>
    </row>
    <row r="1766" spans="1:21">
      <c r="A1766" s="6"/>
      <c r="B1766" s="11" t="s">
        <v>94</v>
      </c>
      <c r="C1766" s="7" t="s">
        <v>41</v>
      </c>
      <c r="D1766" s="7"/>
      <c r="E1766" s="7"/>
      <c r="F1766" s="7">
        <f t="shared" si="319"/>
        <v>0</v>
      </c>
      <c r="G1766" s="8"/>
      <c r="H1766" s="7">
        <f t="shared" si="316"/>
        <v>0</v>
      </c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9">
        <f t="shared" si="312"/>
        <v>0</v>
      </c>
      <c r="T1766" s="10">
        <f t="shared" si="313"/>
        <v>0</v>
      </c>
      <c r="U1766" s="10"/>
    </row>
    <row r="1767" spans="1:21">
      <c r="A1767" s="6"/>
      <c r="B1767" s="11" t="s">
        <v>95</v>
      </c>
      <c r="C1767" s="7" t="s">
        <v>41</v>
      </c>
      <c r="D1767" s="7"/>
      <c r="E1767" s="7"/>
      <c r="F1767" s="7">
        <f t="shared" si="319"/>
        <v>39</v>
      </c>
      <c r="G1767" s="8"/>
      <c r="H1767" s="7">
        <f t="shared" si="316"/>
        <v>0</v>
      </c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9">
        <f t="shared" si="312"/>
        <v>39</v>
      </c>
      <c r="T1767" s="10">
        <f t="shared" si="313"/>
        <v>0</v>
      </c>
      <c r="U1767" s="10"/>
    </row>
    <row r="1768" spans="1:21">
      <c r="A1768" s="6"/>
      <c r="B1768" s="11" t="s">
        <v>96</v>
      </c>
      <c r="C1768" s="7" t="s">
        <v>41</v>
      </c>
      <c r="D1768" s="7"/>
      <c r="E1768" s="7"/>
      <c r="F1768" s="7">
        <f t="shared" si="319"/>
        <v>0</v>
      </c>
      <c r="G1768" s="8"/>
      <c r="H1768" s="7">
        <f t="shared" si="316"/>
        <v>0</v>
      </c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9">
        <f t="shared" si="312"/>
        <v>0</v>
      </c>
      <c r="T1768" s="10">
        <f t="shared" si="313"/>
        <v>0</v>
      </c>
      <c r="U1768" s="10"/>
    </row>
    <row r="1769" spans="1:21">
      <c r="A1769" s="6"/>
      <c r="B1769" s="11" t="s">
        <v>97</v>
      </c>
      <c r="C1769" s="7" t="s">
        <v>41</v>
      </c>
      <c r="D1769" s="7"/>
      <c r="E1769" s="7"/>
      <c r="F1769" s="7">
        <f t="shared" si="319"/>
        <v>0</v>
      </c>
      <c r="G1769" s="8"/>
      <c r="H1769" s="7">
        <f t="shared" si="316"/>
        <v>0</v>
      </c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9">
        <f t="shared" si="312"/>
        <v>0</v>
      </c>
      <c r="T1769" s="10">
        <f t="shared" si="313"/>
        <v>0</v>
      </c>
      <c r="U1769" s="10"/>
    </row>
    <row r="1770" spans="1:21">
      <c r="A1770" s="6"/>
      <c r="B1770" s="11" t="s">
        <v>98</v>
      </c>
      <c r="C1770" s="7" t="s">
        <v>26</v>
      </c>
      <c r="D1770" s="7"/>
      <c r="E1770" s="7"/>
      <c r="F1770" s="7">
        <f t="shared" ref="F1770:F1786" si="320">S1685</f>
        <v>289</v>
      </c>
      <c r="G1770" s="8"/>
      <c r="H1770" s="7">
        <f t="shared" si="316"/>
        <v>0</v>
      </c>
      <c r="I1770" s="7"/>
      <c r="J1770" s="7">
        <v>120</v>
      </c>
      <c r="K1770" s="7"/>
      <c r="L1770" s="7"/>
      <c r="M1770" s="7"/>
      <c r="N1770" s="7"/>
      <c r="O1770" s="7"/>
      <c r="P1770" s="7"/>
      <c r="Q1770" s="7"/>
      <c r="R1770" s="7"/>
      <c r="S1770" s="9">
        <f t="shared" si="312"/>
        <v>169</v>
      </c>
      <c r="T1770" s="10">
        <f t="shared" si="313"/>
        <v>0</v>
      </c>
      <c r="U1770" s="10"/>
    </row>
    <row r="1771" spans="1:21">
      <c r="A1771" s="6"/>
      <c r="B1771" s="11" t="s">
        <v>99</v>
      </c>
      <c r="C1771" s="7" t="s">
        <v>26</v>
      </c>
      <c r="D1771" s="7"/>
      <c r="E1771" s="7"/>
      <c r="F1771" s="7">
        <f t="shared" si="320"/>
        <v>1307</v>
      </c>
      <c r="G1771" s="8"/>
      <c r="H1771" s="7">
        <f t="shared" si="316"/>
        <v>0</v>
      </c>
      <c r="I1771" s="7"/>
      <c r="J1771" s="7"/>
      <c r="K1771" s="7"/>
      <c r="L1771" s="7"/>
      <c r="M1771" s="7">
        <v>12</v>
      </c>
      <c r="N1771" s="7"/>
      <c r="O1771" s="7"/>
      <c r="P1771" s="7"/>
      <c r="Q1771" s="7"/>
      <c r="R1771" s="7"/>
      <c r="S1771" s="9">
        <f t="shared" si="312"/>
        <v>1319</v>
      </c>
      <c r="T1771" s="10">
        <f t="shared" si="313"/>
        <v>0</v>
      </c>
      <c r="U1771" s="10"/>
    </row>
    <row r="1772" spans="1:21">
      <c r="A1772" s="6"/>
      <c r="B1772" s="11" t="s">
        <v>100</v>
      </c>
      <c r="C1772" s="7" t="s">
        <v>26</v>
      </c>
      <c r="D1772" s="7"/>
      <c r="E1772" s="7"/>
      <c r="F1772" s="7">
        <f t="shared" si="320"/>
        <v>394</v>
      </c>
      <c r="G1772" s="8"/>
      <c r="H1772" s="7">
        <f t="shared" si="316"/>
        <v>0</v>
      </c>
      <c r="I1772" s="7"/>
      <c r="J1772" s="7">
        <v>45</v>
      </c>
      <c r="K1772" s="7">
        <v>30</v>
      </c>
      <c r="L1772" s="7"/>
      <c r="M1772" s="7"/>
      <c r="N1772" s="7"/>
      <c r="O1772" s="7"/>
      <c r="P1772" s="7"/>
      <c r="Q1772" s="7"/>
      <c r="R1772" s="7"/>
      <c r="S1772" s="9">
        <f t="shared" si="312"/>
        <v>319</v>
      </c>
      <c r="T1772" s="10">
        <f t="shared" si="313"/>
        <v>0</v>
      </c>
      <c r="U1772" s="10"/>
    </row>
    <row r="1773" spans="1:21">
      <c r="A1773" s="6"/>
      <c r="B1773" s="11" t="s">
        <v>101</v>
      </c>
      <c r="C1773" s="7" t="s">
        <v>26</v>
      </c>
      <c r="D1773" s="7"/>
      <c r="E1773" s="7"/>
      <c r="F1773" s="7">
        <f t="shared" si="320"/>
        <v>408</v>
      </c>
      <c r="G1773" s="8"/>
      <c r="H1773" s="7">
        <f t="shared" si="316"/>
        <v>0</v>
      </c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9">
        <f t="shared" si="312"/>
        <v>408</v>
      </c>
      <c r="T1773" s="10">
        <f t="shared" si="313"/>
        <v>0</v>
      </c>
      <c r="U1773" s="10"/>
    </row>
    <row r="1774" spans="1:21">
      <c r="A1774" s="6"/>
      <c r="B1774" s="11" t="s">
        <v>102</v>
      </c>
      <c r="C1774" s="7" t="s">
        <v>26</v>
      </c>
      <c r="D1774" s="7"/>
      <c r="E1774" s="7"/>
      <c r="F1774" s="7">
        <f t="shared" si="320"/>
        <v>418</v>
      </c>
      <c r="G1774" s="8"/>
      <c r="H1774" s="7">
        <f t="shared" si="316"/>
        <v>0</v>
      </c>
      <c r="I1774" s="7"/>
      <c r="J1774" s="7">
        <v>56</v>
      </c>
      <c r="K1774" s="7">
        <v>72</v>
      </c>
      <c r="L1774" s="7"/>
      <c r="M1774" s="7"/>
      <c r="N1774" s="7"/>
      <c r="O1774" s="7"/>
      <c r="P1774" s="7"/>
      <c r="Q1774" s="7"/>
      <c r="R1774" s="7"/>
      <c r="S1774" s="9">
        <f t="shared" si="312"/>
        <v>290</v>
      </c>
      <c r="T1774" s="10">
        <f t="shared" si="313"/>
        <v>0</v>
      </c>
      <c r="U1774" s="10"/>
    </row>
    <row r="1775" spans="1:21">
      <c r="A1775" s="6"/>
      <c r="B1775" s="11" t="s">
        <v>103</v>
      </c>
      <c r="C1775" s="7" t="s">
        <v>26</v>
      </c>
      <c r="D1775" s="7"/>
      <c r="E1775" s="7"/>
      <c r="F1775" s="7">
        <f t="shared" si="320"/>
        <v>326</v>
      </c>
      <c r="G1775" s="8"/>
      <c r="H1775" s="7">
        <f t="shared" si="316"/>
        <v>0</v>
      </c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9">
        <f t="shared" si="312"/>
        <v>326</v>
      </c>
      <c r="T1775" s="10">
        <f t="shared" si="313"/>
        <v>0</v>
      </c>
      <c r="U1775" s="10"/>
    </row>
    <row r="1776" spans="1:21">
      <c r="A1776" s="6"/>
      <c r="B1776" s="11" t="s">
        <v>112</v>
      </c>
      <c r="C1776" s="7" t="s">
        <v>113</v>
      </c>
      <c r="D1776" s="7"/>
      <c r="E1776" s="7"/>
      <c r="F1776" s="7">
        <f t="shared" si="320"/>
        <v>1150</v>
      </c>
      <c r="G1776" s="8"/>
      <c r="H1776" s="7">
        <f t="shared" si="316"/>
        <v>0</v>
      </c>
      <c r="I1776" s="7"/>
      <c r="J1776" s="7">
        <v>50</v>
      </c>
      <c r="K1776" s="7"/>
      <c r="L1776" s="7"/>
      <c r="M1776" s="7"/>
      <c r="N1776" s="7"/>
      <c r="O1776" s="7"/>
      <c r="P1776" s="7"/>
      <c r="Q1776" s="7"/>
      <c r="R1776" s="7"/>
      <c r="S1776" s="9">
        <f t="shared" ref="S1776:S1796" si="321">F1776+G1776-J1776-K1776-L1776+M1776+O1776-P1776-R1776</f>
        <v>1100</v>
      </c>
      <c r="T1776" s="10">
        <f t="shared" ref="T1776:T1796" si="322">H1776+I1776+N1776+R1776-Q1776</f>
        <v>0</v>
      </c>
      <c r="U1776" s="10"/>
    </row>
    <row r="1777" spans="1:25">
      <c r="A1777" s="6"/>
      <c r="B1777" s="11"/>
      <c r="C1777" s="7"/>
      <c r="D1777" s="7"/>
      <c r="E1777" s="7"/>
      <c r="F1777" s="7">
        <f t="shared" si="320"/>
        <v>0</v>
      </c>
      <c r="G1777" s="8"/>
      <c r="H1777" s="7">
        <f t="shared" si="316"/>
        <v>0</v>
      </c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9">
        <f t="shared" si="321"/>
        <v>0</v>
      </c>
      <c r="T1777" s="10">
        <f t="shared" si="322"/>
        <v>0</v>
      </c>
      <c r="U1777" s="10"/>
    </row>
    <row r="1778" spans="1:25">
      <c r="A1778" s="6"/>
      <c r="B1778" s="11"/>
      <c r="C1778" s="7"/>
      <c r="D1778" s="7"/>
      <c r="E1778" s="7"/>
      <c r="F1778" s="7">
        <f t="shared" si="320"/>
        <v>0</v>
      </c>
      <c r="G1778" s="8"/>
      <c r="H1778" s="7">
        <f t="shared" si="316"/>
        <v>0</v>
      </c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9">
        <f t="shared" si="321"/>
        <v>0</v>
      </c>
      <c r="T1778" s="10">
        <f t="shared" si="322"/>
        <v>0</v>
      </c>
      <c r="U1778" s="10"/>
    </row>
    <row r="1779" spans="1:25">
      <c r="A1779" s="6"/>
      <c r="B1779" s="11"/>
      <c r="C1779" s="7"/>
      <c r="D1779" s="7"/>
      <c r="E1779" s="7"/>
      <c r="F1779" s="7">
        <f t="shared" si="320"/>
        <v>0</v>
      </c>
      <c r="G1779" s="8"/>
      <c r="H1779" s="7">
        <f t="shared" si="316"/>
        <v>0</v>
      </c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9">
        <f t="shared" si="321"/>
        <v>0</v>
      </c>
      <c r="T1779" s="10">
        <f t="shared" si="322"/>
        <v>0</v>
      </c>
      <c r="U1779" s="10"/>
    </row>
    <row r="1780" spans="1:25">
      <c r="A1780" s="6"/>
      <c r="B1780" s="11"/>
      <c r="C1780" s="7"/>
      <c r="D1780" s="7"/>
      <c r="E1780" s="7"/>
      <c r="F1780" s="7">
        <f t="shared" si="320"/>
        <v>0</v>
      </c>
      <c r="G1780" s="8"/>
      <c r="H1780" s="7">
        <f t="shared" si="316"/>
        <v>0</v>
      </c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9">
        <f t="shared" si="321"/>
        <v>0</v>
      </c>
      <c r="T1780" s="10">
        <f t="shared" si="322"/>
        <v>0</v>
      </c>
      <c r="U1780" s="10"/>
    </row>
    <row r="1781" spans="1:25">
      <c r="A1781" s="6"/>
      <c r="B1781" s="11"/>
      <c r="C1781" s="7"/>
      <c r="D1781" s="7"/>
      <c r="E1781" s="7"/>
      <c r="F1781" s="7">
        <f t="shared" si="320"/>
        <v>0</v>
      </c>
      <c r="G1781" s="8"/>
      <c r="H1781" s="7">
        <f t="shared" si="316"/>
        <v>0</v>
      </c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9">
        <f t="shared" si="321"/>
        <v>0</v>
      </c>
      <c r="T1781" s="10">
        <f t="shared" si="322"/>
        <v>0</v>
      </c>
      <c r="U1781" s="10"/>
    </row>
    <row r="1782" spans="1:25">
      <c r="A1782" s="6"/>
      <c r="B1782" s="11"/>
      <c r="C1782" s="7"/>
      <c r="D1782" s="7"/>
      <c r="E1782" s="7"/>
      <c r="F1782" s="7">
        <f t="shared" si="320"/>
        <v>0</v>
      </c>
      <c r="G1782" s="8"/>
      <c r="H1782" s="7">
        <f t="shared" si="316"/>
        <v>0</v>
      </c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9">
        <f t="shared" si="321"/>
        <v>0</v>
      </c>
      <c r="T1782" s="10">
        <f t="shared" si="322"/>
        <v>0</v>
      </c>
      <c r="U1782" s="10"/>
    </row>
    <row r="1783" spans="1:25">
      <c r="A1783" s="6"/>
      <c r="B1783" s="11"/>
      <c r="C1783" s="7"/>
      <c r="D1783" s="7"/>
      <c r="E1783" s="7"/>
      <c r="F1783" s="7">
        <f t="shared" si="320"/>
        <v>0</v>
      </c>
      <c r="G1783" s="8"/>
      <c r="H1783" s="7">
        <f t="shared" si="316"/>
        <v>0</v>
      </c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9">
        <f t="shared" si="321"/>
        <v>0</v>
      </c>
      <c r="T1783" s="10">
        <f t="shared" si="322"/>
        <v>0</v>
      </c>
      <c r="U1783" s="10"/>
    </row>
    <row r="1784" spans="1:25">
      <c r="A1784" s="6"/>
      <c r="B1784" s="11"/>
      <c r="C1784" s="7"/>
      <c r="D1784" s="7"/>
      <c r="E1784" s="7"/>
      <c r="F1784" s="7">
        <f t="shared" si="320"/>
        <v>0</v>
      </c>
      <c r="G1784" s="8"/>
      <c r="H1784" s="7">
        <f t="shared" si="316"/>
        <v>0</v>
      </c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9">
        <f t="shared" si="321"/>
        <v>0</v>
      </c>
      <c r="T1784" s="10">
        <f t="shared" si="322"/>
        <v>0</v>
      </c>
      <c r="U1784" s="10"/>
    </row>
    <row r="1785" spans="1:25">
      <c r="A1785" s="6"/>
      <c r="B1785" s="11"/>
      <c r="C1785" s="7"/>
      <c r="D1785" s="7"/>
      <c r="E1785" s="7"/>
      <c r="F1785" s="7">
        <f t="shared" si="320"/>
        <v>0</v>
      </c>
      <c r="G1785" s="8"/>
      <c r="H1785" s="7">
        <f t="shared" si="316"/>
        <v>0</v>
      </c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9">
        <f t="shared" si="321"/>
        <v>0</v>
      </c>
      <c r="T1785" s="10">
        <f t="shared" si="322"/>
        <v>0</v>
      </c>
      <c r="U1785" s="10"/>
    </row>
    <row r="1786" spans="1:25">
      <c r="A1786" s="6"/>
      <c r="B1786" s="11"/>
      <c r="C1786" s="7"/>
      <c r="D1786" s="7"/>
      <c r="E1786" s="7"/>
      <c r="F1786" s="7">
        <f t="shared" si="320"/>
        <v>0</v>
      </c>
      <c r="G1786" s="8"/>
      <c r="H1786" s="7">
        <f t="shared" si="316"/>
        <v>0</v>
      </c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9">
        <f t="shared" si="321"/>
        <v>0</v>
      </c>
      <c r="T1786" s="10">
        <f t="shared" si="322"/>
        <v>0</v>
      </c>
      <c r="U1786" s="10"/>
      <c r="V1786">
        <f>X1786*0.1</f>
        <v>0</v>
      </c>
      <c r="W1786">
        <f>E1786*S1786*1.5</f>
        <v>0</v>
      </c>
      <c r="X1786">
        <f>J1786+K1786</f>
        <v>0</v>
      </c>
      <c r="Y1786">
        <f>X1786*0.13</f>
        <v>0</v>
      </c>
    </row>
    <row r="1787" spans="1:25">
      <c r="A1787" s="6">
        <v>46164</v>
      </c>
      <c r="B1787" t="s">
        <v>25</v>
      </c>
      <c r="C1787" s="7" t="s">
        <v>26</v>
      </c>
      <c r="D1787" s="7"/>
      <c r="E1787" s="7"/>
      <c r="F1787" s="7">
        <f t="shared" ref="F1786:F1798" si="323">S1702</f>
        <v>449</v>
      </c>
      <c r="G1787" s="8"/>
      <c r="H1787" s="7">
        <f t="shared" si="316"/>
        <v>0</v>
      </c>
      <c r="I1787" s="7"/>
      <c r="J1787" s="7">
        <v>240</v>
      </c>
      <c r="K1787" s="7"/>
      <c r="L1787" s="7"/>
      <c r="M1787" s="7"/>
      <c r="N1787" s="7"/>
      <c r="O1787" s="7"/>
      <c r="P1787" s="7"/>
      <c r="Q1787" s="7"/>
      <c r="R1787" s="7"/>
      <c r="S1787" s="9">
        <f t="shared" si="321"/>
        <v>209</v>
      </c>
      <c r="T1787" s="10">
        <f t="shared" si="322"/>
        <v>0</v>
      </c>
      <c r="U1787" s="10"/>
      <c r="V1787">
        <f t="shared" ref="V1787:V1793" si="324">X1787*0.1</f>
        <v>24</v>
      </c>
      <c r="W1787">
        <f t="shared" ref="W1787:W1796" si="325">E1787*S1787*1.5</f>
        <v>0</v>
      </c>
      <c r="X1787">
        <f t="shared" ref="X1787:X1793" si="326">J1787+K1787</f>
        <v>240</v>
      </c>
      <c r="Y1787">
        <f t="shared" ref="Y1787:Y1793" si="327">X1787*0.13</f>
        <v>31.2</v>
      </c>
    </row>
    <row r="1788" spans="1:25">
      <c r="A1788" s="6"/>
      <c r="B1788" t="s">
        <v>27</v>
      </c>
      <c r="C1788" s="7" t="s">
        <v>26</v>
      </c>
      <c r="D1788" s="7"/>
      <c r="E1788" s="7"/>
      <c r="F1788" s="7">
        <f t="shared" si="323"/>
        <v>769</v>
      </c>
      <c r="G1788" s="8"/>
      <c r="H1788" s="7">
        <f t="shared" si="316"/>
        <v>0</v>
      </c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9">
        <f t="shared" si="321"/>
        <v>769</v>
      </c>
      <c r="T1788" s="10">
        <f t="shared" si="322"/>
        <v>0</v>
      </c>
      <c r="U1788" s="10"/>
      <c r="V1788">
        <f t="shared" si="324"/>
        <v>0</v>
      </c>
      <c r="W1788">
        <f t="shared" si="325"/>
        <v>0</v>
      </c>
      <c r="X1788">
        <f t="shared" si="326"/>
        <v>0</v>
      </c>
      <c r="Y1788">
        <f t="shared" si="327"/>
        <v>0</v>
      </c>
    </row>
    <row r="1789" spans="1:25">
      <c r="A1789" s="6"/>
      <c r="B1789" s="6" t="s">
        <v>28</v>
      </c>
      <c r="C1789" s="7" t="s">
        <v>26</v>
      </c>
      <c r="D1789" s="7"/>
      <c r="E1789" s="7"/>
      <c r="F1789" s="7">
        <f t="shared" si="323"/>
        <v>1026</v>
      </c>
      <c r="G1789" s="8"/>
      <c r="H1789" s="7">
        <f t="shared" si="316"/>
        <v>0</v>
      </c>
      <c r="I1789" s="7"/>
      <c r="J1789" s="7">
        <v>240</v>
      </c>
      <c r="K1789" s="7"/>
      <c r="L1789" s="7"/>
      <c r="M1789" s="7"/>
      <c r="N1789" s="7"/>
      <c r="O1789" s="7"/>
      <c r="P1789" s="7"/>
      <c r="Q1789" s="7"/>
      <c r="R1789" s="7"/>
      <c r="S1789" s="9">
        <f t="shared" si="321"/>
        <v>786</v>
      </c>
      <c r="T1789" s="10">
        <f t="shared" si="322"/>
        <v>0</v>
      </c>
      <c r="U1789" s="10"/>
      <c r="V1789">
        <f t="shared" si="324"/>
        <v>24</v>
      </c>
      <c r="W1789">
        <f t="shared" si="325"/>
        <v>0</v>
      </c>
      <c r="X1789">
        <f t="shared" si="326"/>
        <v>240</v>
      </c>
      <c r="Y1789">
        <f t="shared" si="327"/>
        <v>31.2</v>
      </c>
    </row>
    <row r="1790" spans="1:25">
      <c r="A1790" s="6"/>
      <c r="B1790" s="6" t="s">
        <v>29</v>
      </c>
      <c r="C1790" s="7" t="s">
        <v>26</v>
      </c>
      <c r="D1790" s="7"/>
      <c r="E1790" s="7"/>
      <c r="F1790" s="7">
        <f t="shared" si="323"/>
        <v>318</v>
      </c>
      <c r="G1790" s="8"/>
      <c r="H1790" s="7">
        <f t="shared" si="316"/>
        <v>0</v>
      </c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9">
        <f t="shared" si="321"/>
        <v>318</v>
      </c>
      <c r="T1790" s="10">
        <f t="shared" si="322"/>
        <v>0</v>
      </c>
      <c r="U1790" s="10"/>
      <c r="V1790">
        <f t="shared" si="324"/>
        <v>0</v>
      </c>
      <c r="W1790">
        <f t="shared" si="325"/>
        <v>0</v>
      </c>
      <c r="X1790">
        <f t="shared" si="326"/>
        <v>0</v>
      </c>
      <c r="Y1790">
        <f t="shared" si="327"/>
        <v>0</v>
      </c>
    </row>
    <row r="1791" spans="1:25">
      <c r="A1791" s="6"/>
      <c r="B1791" s="6" t="s">
        <v>30</v>
      </c>
      <c r="C1791" s="7" t="s">
        <v>26</v>
      </c>
      <c r="D1791" s="7"/>
      <c r="E1791" s="7"/>
      <c r="F1791" s="7">
        <f t="shared" si="323"/>
        <v>1984</v>
      </c>
      <c r="G1791" s="8"/>
      <c r="H1791" s="7">
        <f t="shared" si="316"/>
        <v>0</v>
      </c>
      <c r="I1791" s="7"/>
      <c r="J1791" s="7">
        <v>360</v>
      </c>
      <c r="K1791" s="7"/>
      <c r="L1791" s="7"/>
      <c r="M1791" s="7"/>
      <c r="N1791" s="7"/>
      <c r="O1791" s="7"/>
      <c r="P1791" s="7"/>
      <c r="Q1791" s="7"/>
      <c r="R1791" s="7"/>
      <c r="S1791" s="9">
        <f t="shared" si="321"/>
        <v>1624</v>
      </c>
      <c r="T1791" s="10">
        <f t="shared" si="322"/>
        <v>0</v>
      </c>
      <c r="U1791" s="10"/>
      <c r="V1791">
        <f t="shared" si="324"/>
        <v>36</v>
      </c>
      <c r="W1791">
        <f t="shared" si="325"/>
        <v>0</v>
      </c>
      <c r="X1791">
        <f t="shared" si="326"/>
        <v>360</v>
      </c>
      <c r="Y1791">
        <f t="shared" si="327"/>
        <v>46.8</v>
      </c>
    </row>
    <row r="1792" spans="1:25">
      <c r="A1792" s="6"/>
      <c r="B1792" s="6" t="s">
        <v>31</v>
      </c>
      <c r="C1792" s="7" t="s">
        <v>26</v>
      </c>
      <c r="D1792" s="7"/>
      <c r="E1792" s="7"/>
      <c r="F1792" s="7">
        <f t="shared" si="323"/>
        <v>1649</v>
      </c>
      <c r="G1792" s="8"/>
      <c r="H1792" s="7">
        <f t="shared" si="316"/>
        <v>0</v>
      </c>
      <c r="I1792" s="7"/>
      <c r="J1792" s="7"/>
      <c r="K1792" s="7"/>
      <c r="L1792" s="7"/>
      <c r="M1792" s="7">
        <v>17</v>
      </c>
      <c r="N1792" s="7"/>
      <c r="O1792" s="7"/>
      <c r="P1792" s="7"/>
      <c r="Q1792" s="7"/>
      <c r="R1792" s="7"/>
      <c r="S1792" s="9">
        <f t="shared" si="321"/>
        <v>1666</v>
      </c>
      <c r="T1792" s="10">
        <f t="shared" si="322"/>
        <v>0</v>
      </c>
      <c r="U1792" s="10"/>
      <c r="V1792">
        <f t="shared" si="324"/>
        <v>0</v>
      </c>
      <c r="W1792">
        <f t="shared" si="325"/>
        <v>0</v>
      </c>
      <c r="X1792">
        <f t="shared" si="326"/>
        <v>0</v>
      </c>
      <c r="Y1792">
        <f t="shared" si="327"/>
        <v>0</v>
      </c>
    </row>
    <row r="1793" spans="1:25">
      <c r="A1793" s="6"/>
      <c r="B1793" s="6" t="s">
        <v>32</v>
      </c>
      <c r="C1793" s="7" t="s">
        <v>26</v>
      </c>
      <c r="D1793" s="7"/>
      <c r="E1793" s="7"/>
      <c r="F1793" s="7">
        <f t="shared" si="323"/>
        <v>1092</v>
      </c>
      <c r="G1793" s="8"/>
      <c r="H1793" s="7">
        <f t="shared" si="316"/>
        <v>0</v>
      </c>
      <c r="I1793" s="7"/>
      <c r="J1793" s="7">
        <v>450</v>
      </c>
      <c r="K1793" s="7"/>
      <c r="L1793" s="7"/>
      <c r="M1793" s="7"/>
      <c r="N1793" s="7"/>
      <c r="O1793" s="7"/>
      <c r="P1793" s="7"/>
      <c r="Q1793" s="7"/>
      <c r="R1793" s="7"/>
      <c r="S1793" s="9">
        <f t="shared" si="321"/>
        <v>642</v>
      </c>
      <c r="T1793" s="10">
        <f t="shared" si="322"/>
        <v>0</v>
      </c>
      <c r="U1793" s="10"/>
      <c r="V1793">
        <f t="shared" si="324"/>
        <v>45</v>
      </c>
      <c r="W1793">
        <f t="shared" si="325"/>
        <v>0</v>
      </c>
      <c r="X1793">
        <f t="shared" si="326"/>
        <v>450</v>
      </c>
      <c r="Y1793">
        <f t="shared" si="327"/>
        <v>58.5</v>
      </c>
    </row>
    <row r="1794" spans="1:25">
      <c r="A1794" s="6"/>
      <c r="B1794" s="6" t="s">
        <v>33</v>
      </c>
      <c r="C1794" s="7" t="s">
        <v>26</v>
      </c>
      <c r="D1794" s="7"/>
      <c r="E1794" s="7"/>
      <c r="F1794" s="7">
        <f t="shared" si="323"/>
        <v>1734</v>
      </c>
      <c r="G1794" s="8"/>
      <c r="H1794" s="7">
        <f t="shared" si="316"/>
        <v>0</v>
      </c>
      <c r="I1794" s="7"/>
      <c r="J1794" s="7"/>
      <c r="K1794" s="7"/>
      <c r="L1794" s="7"/>
      <c r="M1794" s="7">
        <v>19</v>
      </c>
      <c r="N1794" s="7"/>
      <c r="O1794" s="7"/>
      <c r="P1794" s="7"/>
      <c r="Q1794" s="7"/>
      <c r="R1794" s="7"/>
      <c r="S1794" s="9">
        <f t="shared" si="321"/>
        <v>1753</v>
      </c>
      <c r="T1794" s="10">
        <f t="shared" si="322"/>
        <v>0</v>
      </c>
      <c r="U1794" s="10"/>
    </row>
    <row r="1795" spans="1:25">
      <c r="A1795" s="6"/>
      <c r="B1795" s="11" t="s">
        <v>34</v>
      </c>
      <c r="C1795" s="7" t="s">
        <v>26</v>
      </c>
      <c r="D1795" s="7"/>
      <c r="E1795" s="7"/>
      <c r="F1795" s="7">
        <f t="shared" si="323"/>
        <v>17</v>
      </c>
      <c r="G1795" s="8"/>
      <c r="H1795" s="7">
        <f t="shared" si="316"/>
        <v>0</v>
      </c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9">
        <f t="shared" si="321"/>
        <v>17</v>
      </c>
      <c r="T1795" s="10">
        <f t="shared" si="322"/>
        <v>0</v>
      </c>
      <c r="U1795" s="10"/>
    </row>
    <row r="1796" spans="1:25">
      <c r="A1796" s="6"/>
      <c r="B1796" s="11" t="s">
        <v>35</v>
      </c>
      <c r="C1796" s="7" t="s">
        <v>26</v>
      </c>
      <c r="D1796" s="7"/>
      <c r="E1796" s="7"/>
      <c r="F1796" s="7">
        <f t="shared" si="323"/>
        <v>120</v>
      </c>
      <c r="G1796" s="8"/>
      <c r="H1796" s="7">
        <f t="shared" si="316"/>
        <v>0</v>
      </c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9">
        <f t="shared" si="321"/>
        <v>120</v>
      </c>
      <c r="T1796" s="10">
        <f t="shared" si="322"/>
        <v>0</v>
      </c>
      <c r="U1796" s="10"/>
    </row>
    <row r="1797" spans="1:25">
      <c r="A1797" s="6"/>
      <c r="B1797" s="11" t="s">
        <v>36</v>
      </c>
      <c r="C1797" s="7" t="s">
        <v>26</v>
      </c>
      <c r="D1797" s="7"/>
      <c r="E1797" s="7"/>
      <c r="F1797" s="7">
        <f t="shared" si="323"/>
        <v>6362</v>
      </c>
      <c r="G1797" s="8"/>
      <c r="H1797" s="7">
        <f t="shared" ref="H1797:H1860" si="328">T1712</f>
        <v>0</v>
      </c>
      <c r="I1797" s="7"/>
      <c r="J1797" s="7"/>
      <c r="K1797" s="7"/>
      <c r="L1797" s="7"/>
      <c r="M1797" s="7"/>
      <c r="N1797" s="7"/>
      <c r="O1797" s="7">
        <v>24</v>
      </c>
      <c r="P1797" s="7"/>
      <c r="Q1797" s="7"/>
      <c r="R1797" s="7"/>
      <c r="S1797" s="9">
        <f t="shared" ref="S1797:S1834" si="329">F1797+G1797-J1797-K1797-L1797+M1797+O1797-P1797-R1797</f>
        <v>6386</v>
      </c>
      <c r="T1797" s="10">
        <f t="shared" ref="T1797:T1834" si="330">H1797+I1797+N1797+R1797-Q1797</f>
        <v>0</v>
      </c>
      <c r="U1797" s="10"/>
    </row>
    <row r="1798" spans="1:25">
      <c r="A1798" s="6"/>
      <c r="B1798" s="11" t="s">
        <v>37</v>
      </c>
      <c r="C1798" s="7" t="s">
        <v>26</v>
      </c>
      <c r="D1798" s="7"/>
      <c r="E1798" s="7"/>
      <c r="F1798" s="7">
        <f t="shared" si="323"/>
        <v>1511</v>
      </c>
      <c r="G1798" s="8"/>
      <c r="H1798" s="7">
        <f t="shared" si="328"/>
        <v>0</v>
      </c>
      <c r="I1798" s="7"/>
      <c r="J1798" s="7"/>
      <c r="K1798" s="7"/>
      <c r="L1798" s="7"/>
      <c r="M1798" s="7">
        <v>48</v>
      </c>
      <c r="N1798" s="7"/>
      <c r="O1798" s="7"/>
      <c r="P1798" s="7"/>
      <c r="Q1798" s="7"/>
      <c r="R1798" s="7"/>
      <c r="S1798" s="9">
        <f t="shared" si="329"/>
        <v>1559</v>
      </c>
      <c r="T1798" s="10">
        <f t="shared" si="330"/>
        <v>0</v>
      </c>
      <c r="U1798" s="10"/>
    </row>
    <row r="1799" spans="1:25">
      <c r="A1799" s="6"/>
      <c r="B1799" s="11" t="s">
        <v>38</v>
      </c>
      <c r="C1799" s="7" t="s">
        <v>26</v>
      </c>
      <c r="D1799" s="7"/>
      <c r="E1799" s="7"/>
      <c r="F1799" s="7">
        <f t="shared" ref="F1799:F1811" si="331">S1714</f>
        <v>0</v>
      </c>
      <c r="G1799" s="8"/>
      <c r="H1799" s="7">
        <f t="shared" si="328"/>
        <v>0</v>
      </c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9">
        <f t="shared" si="329"/>
        <v>0</v>
      </c>
      <c r="T1799" s="10">
        <f t="shared" si="330"/>
        <v>0</v>
      </c>
      <c r="U1799" s="10"/>
    </row>
    <row r="1800" spans="1:25">
      <c r="A1800" s="6"/>
      <c r="B1800" s="11" t="s">
        <v>39</v>
      </c>
      <c r="C1800" s="7" t="s">
        <v>26</v>
      </c>
      <c r="D1800" s="7"/>
      <c r="E1800" s="7"/>
      <c r="F1800" s="7">
        <f t="shared" si="331"/>
        <v>1913</v>
      </c>
      <c r="G1800" s="8"/>
      <c r="H1800" s="7">
        <f t="shared" si="328"/>
        <v>0</v>
      </c>
      <c r="I1800" s="7"/>
      <c r="J1800" s="7"/>
      <c r="K1800" s="7"/>
      <c r="L1800" s="7"/>
      <c r="M1800" s="7">
        <v>20</v>
      </c>
      <c r="N1800" s="7"/>
      <c r="O1800" s="7"/>
      <c r="P1800" s="7"/>
      <c r="Q1800" s="7"/>
      <c r="R1800" s="7"/>
      <c r="S1800" s="9">
        <f t="shared" si="329"/>
        <v>1933</v>
      </c>
      <c r="T1800" s="10">
        <f t="shared" si="330"/>
        <v>0</v>
      </c>
      <c r="U1800" s="10"/>
    </row>
    <row r="1801" spans="1:25">
      <c r="A1801" s="6"/>
      <c r="B1801" s="11" t="s">
        <v>40</v>
      </c>
      <c r="C1801" s="7" t="s">
        <v>41</v>
      </c>
      <c r="D1801" s="7"/>
      <c r="E1801" s="7"/>
      <c r="F1801" s="7">
        <f t="shared" si="331"/>
        <v>0</v>
      </c>
      <c r="G1801" s="8"/>
      <c r="H1801" s="7">
        <f t="shared" si="328"/>
        <v>0</v>
      </c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9">
        <f t="shared" si="329"/>
        <v>0</v>
      </c>
      <c r="T1801" s="10">
        <f t="shared" si="330"/>
        <v>0</v>
      </c>
      <c r="U1801" s="10"/>
    </row>
    <row r="1802" spans="1:25">
      <c r="A1802" s="6"/>
      <c r="B1802" s="11" t="s">
        <v>42</v>
      </c>
      <c r="C1802" s="7" t="s">
        <v>41</v>
      </c>
      <c r="D1802" s="7"/>
      <c r="E1802" s="7"/>
      <c r="F1802" s="7">
        <f t="shared" si="331"/>
        <v>53</v>
      </c>
      <c r="G1802" s="8"/>
      <c r="H1802" s="7">
        <f t="shared" si="328"/>
        <v>0</v>
      </c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9">
        <f t="shared" si="329"/>
        <v>53</v>
      </c>
      <c r="T1802" s="10">
        <f t="shared" si="330"/>
        <v>0</v>
      </c>
      <c r="U1802" s="10"/>
    </row>
    <row r="1803" spans="1:25">
      <c r="A1803" s="6"/>
      <c r="B1803" s="11" t="s">
        <v>43</v>
      </c>
      <c r="C1803" s="7" t="s">
        <v>41</v>
      </c>
      <c r="D1803" s="7"/>
      <c r="E1803" s="7"/>
      <c r="F1803" s="7">
        <f t="shared" si="331"/>
        <v>0</v>
      </c>
      <c r="G1803" s="8"/>
      <c r="H1803" s="7">
        <f t="shared" si="328"/>
        <v>0</v>
      </c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9">
        <f t="shared" si="329"/>
        <v>0</v>
      </c>
      <c r="T1803" s="10">
        <f t="shared" si="330"/>
        <v>0</v>
      </c>
      <c r="U1803" s="10"/>
    </row>
    <row r="1804" spans="1:25">
      <c r="A1804" s="6"/>
      <c r="B1804" s="11" t="s">
        <v>44</v>
      </c>
      <c r="C1804" s="7" t="s">
        <v>41</v>
      </c>
      <c r="D1804" s="7"/>
      <c r="E1804" s="7"/>
      <c r="F1804" s="7">
        <f t="shared" si="331"/>
        <v>75</v>
      </c>
      <c r="G1804" s="8"/>
      <c r="H1804" s="7">
        <f t="shared" si="328"/>
        <v>0</v>
      </c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9">
        <f t="shared" si="329"/>
        <v>75</v>
      </c>
      <c r="T1804" s="10">
        <f t="shared" si="330"/>
        <v>0</v>
      </c>
      <c r="U1804" s="10"/>
    </row>
    <row r="1805" spans="1:25">
      <c r="A1805" s="6"/>
      <c r="B1805" s="11" t="s">
        <v>45</v>
      </c>
      <c r="C1805" s="7" t="s">
        <v>41</v>
      </c>
      <c r="D1805" s="7"/>
      <c r="E1805" s="7"/>
      <c r="F1805" s="7">
        <f t="shared" si="331"/>
        <v>0</v>
      </c>
      <c r="G1805" s="8"/>
      <c r="H1805" s="7">
        <f t="shared" si="328"/>
        <v>0</v>
      </c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9">
        <f t="shared" si="329"/>
        <v>0</v>
      </c>
      <c r="T1805" s="10">
        <f t="shared" si="330"/>
        <v>0</v>
      </c>
      <c r="U1805" s="10"/>
    </row>
    <row r="1806" spans="1:25">
      <c r="A1806" s="6"/>
      <c r="B1806" s="11" t="s">
        <v>46</v>
      </c>
      <c r="C1806" s="7" t="s">
        <v>41</v>
      </c>
      <c r="D1806" s="7"/>
      <c r="E1806" s="7"/>
      <c r="F1806" s="7">
        <f t="shared" si="331"/>
        <v>17</v>
      </c>
      <c r="G1806" s="8"/>
      <c r="H1806" s="7">
        <f t="shared" si="328"/>
        <v>0</v>
      </c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9">
        <f t="shared" si="329"/>
        <v>17</v>
      </c>
      <c r="T1806" s="10">
        <f t="shared" si="330"/>
        <v>0</v>
      </c>
      <c r="U1806" s="10"/>
    </row>
    <row r="1807" spans="1:25">
      <c r="A1807" s="6"/>
      <c r="B1807" s="11" t="s">
        <v>47</v>
      </c>
      <c r="C1807" s="7" t="s">
        <v>26</v>
      </c>
      <c r="D1807" s="7"/>
      <c r="E1807" s="7"/>
      <c r="F1807" s="7">
        <f t="shared" si="331"/>
        <v>0</v>
      </c>
      <c r="G1807" s="8"/>
      <c r="H1807" s="7">
        <f t="shared" si="328"/>
        <v>0</v>
      </c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9">
        <f t="shared" si="329"/>
        <v>0</v>
      </c>
      <c r="T1807" s="10">
        <f t="shared" si="330"/>
        <v>0</v>
      </c>
      <c r="U1807" s="10"/>
    </row>
    <row r="1808" spans="1:25">
      <c r="A1808" s="6"/>
      <c r="B1808" s="11" t="s">
        <v>48</v>
      </c>
      <c r="C1808" s="7" t="s">
        <v>26</v>
      </c>
      <c r="D1808" s="7"/>
      <c r="E1808" s="7"/>
      <c r="F1808" s="7">
        <f t="shared" si="331"/>
        <v>9922</v>
      </c>
      <c r="G1808" s="8"/>
      <c r="H1808" s="7">
        <f t="shared" si="328"/>
        <v>0</v>
      </c>
      <c r="I1808" s="7"/>
      <c r="J1808" s="7">
        <v>3900</v>
      </c>
      <c r="K1808" s="7">
        <v>690</v>
      </c>
      <c r="L1808" s="7"/>
      <c r="M1808" s="7"/>
      <c r="N1808" s="7"/>
      <c r="O1808" s="7"/>
      <c r="P1808" s="7"/>
      <c r="Q1808" s="7"/>
      <c r="R1808" s="7"/>
      <c r="S1808" s="9">
        <f t="shared" si="329"/>
        <v>5332</v>
      </c>
      <c r="T1808" s="10">
        <f t="shared" si="330"/>
        <v>0</v>
      </c>
      <c r="U1808" s="10" t="s">
        <v>125</v>
      </c>
    </row>
    <row r="1809" spans="1:21">
      <c r="A1809" s="6"/>
      <c r="B1809" s="11" t="s">
        <v>50</v>
      </c>
      <c r="C1809" s="7" t="s">
        <v>26</v>
      </c>
      <c r="D1809" s="7"/>
      <c r="E1809" s="7"/>
      <c r="F1809" s="7">
        <f t="shared" si="331"/>
        <v>0</v>
      </c>
      <c r="G1809" s="8"/>
      <c r="H1809" s="7">
        <f t="shared" si="328"/>
        <v>0</v>
      </c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9">
        <f t="shared" si="329"/>
        <v>0</v>
      </c>
      <c r="T1809" s="10">
        <f t="shared" si="330"/>
        <v>0</v>
      </c>
      <c r="U1809" s="10"/>
    </row>
    <row r="1810" spans="1:21">
      <c r="A1810" s="6"/>
      <c r="B1810" s="11" t="s">
        <v>51</v>
      </c>
      <c r="C1810" s="7" t="s">
        <v>26</v>
      </c>
      <c r="D1810" s="7"/>
      <c r="E1810" s="7"/>
      <c r="F1810" s="7">
        <f t="shared" si="331"/>
        <v>0</v>
      </c>
      <c r="G1810" s="8"/>
      <c r="H1810" s="7">
        <f t="shared" si="328"/>
        <v>0</v>
      </c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9">
        <f t="shared" si="329"/>
        <v>0</v>
      </c>
      <c r="T1810" s="10">
        <f t="shared" si="330"/>
        <v>0</v>
      </c>
      <c r="U1810" s="10"/>
    </row>
    <row r="1811" spans="1:21">
      <c r="A1811" s="6"/>
      <c r="B1811" s="11" t="s">
        <v>52</v>
      </c>
      <c r="C1811" s="7" t="s">
        <v>26</v>
      </c>
      <c r="D1811" s="7"/>
      <c r="E1811" s="7"/>
      <c r="F1811" s="7">
        <f t="shared" si="331"/>
        <v>53</v>
      </c>
      <c r="G1811" s="8"/>
      <c r="H1811" s="7">
        <f t="shared" si="328"/>
        <v>0</v>
      </c>
      <c r="I1811" s="7"/>
      <c r="J1811" s="7"/>
      <c r="K1811" s="7"/>
      <c r="L1811" s="7"/>
      <c r="M1811" s="7"/>
      <c r="N1811" s="7"/>
      <c r="O1811" s="7">
        <v>23</v>
      </c>
      <c r="P1811" s="7"/>
      <c r="Q1811" s="7"/>
      <c r="R1811" s="7"/>
      <c r="S1811" s="9">
        <f t="shared" si="329"/>
        <v>76</v>
      </c>
      <c r="T1811" s="10">
        <f t="shared" si="330"/>
        <v>0</v>
      </c>
      <c r="U1811" s="10"/>
    </row>
    <row r="1812" spans="1:21">
      <c r="A1812" s="6"/>
      <c r="B1812" s="11" t="s">
        <v>53</v>
      </c>
      <c r="C1812" s="7" t="s">
        <v>54</v>
      </c>
      <c r="D1812" s="7"/>
      <c r="E1812" s="7"/>
      <c r="F1812" s="7">
        <f t="shared" ref="F1812:F1830" si="332">S1727</f>
        <v>0</v>
      </c>
      <c r="G1812" s="8"/>
      <c r="H1812" s="7">
        <f t="shared" si="328"/>
        <v>0</v>
      </c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9">
        <f t="shared" si="329"/>
        <v>0</v>
      </c>
      <c r="T1812" s="10">
        <f t="shared" si="330"/>
        <v>0</v>
      </c>
      <c r="U1812" s="10"/>
    </row>
    <row r="1813" spans="1:21">
      <c r="A1813" s="6"/>
      <c r="B1813" s="11" t="s">
        <v>55</v>
      </c>
      <c r="C1813" s="7" t="s">
        <v>54</v>
      </c>
      <c r="D1813" s="7"/>
      <c r="E1813" s="7"/>
      <c r="F1813" s="7">
        <f t="shared" si="332"/>
        <v>15</v>
      </c>
      <c r="G1813" s="8"/>
      <c r="H1813" s="7">
        <f t="shared" si="328"/>
        <v>0</v>
      </c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9">
        <f t="shared" si="329"/>
        <v>15</v>
      </c>
      <c r="T1813" s="10">
        <f t="shared" si="330"/>
        <v>0</v>
      </c>
      <c r="U1813" s="10"/>
    </row>
    <row r="1814" spans="1:21">
      <c r="A1814" s="6"/>
      <c r="B1814" s="11" t="s">
        <v>56</v>
      </c>
      <c r="C1814" s="7" t="s">
        <v>54</v>
      </c>
      <c r="D1814" s="7"/>
      <c r="E1814" s="7"/>
      <c r="F1814" s="7">
        <f t="shared" si="332"/>
        <v>1223</v>
      </c>
      <c r="G1814" s="8"/>
      <c r="H1814" s="7">
        <f t="shared" si="328"/>
        <v>0</v>
      </c>
      <c r="I1814" s="7"/>
      <c r="J1814" s="7">
        <v>360</v>
      </c>
      <c r="K1814" s="7"/>
      <c r="L1814" s="7"/>
      <c r="M1814" s="7"/>
      <c r="N1814" s="7"/>
      <c r="O1814" s="7"/>
      <c r="P1814" s="7"/>
      <c r="Q1814" s="7"/>
      <c r="R1814" s="7"/>
      <c r="S1814" s="9">
        <f t="shared" si="329"/>
        <v>863</v>
      </c>
      <c r="T1814" s="10">
        <f t="shared" si="330"/>
        <v>0</v>
      </c>
      <c r="U1814" s="10"/>
    </row>
    <row r="1815" spans="1:21">
      <c r="A1815" s="6"/>
      <c r="B1815" s="11" t="s">
        <v>57</v>
      </c>
      <c r="C1815" s="7" t="s">
        <v>54</v>
      </c>
      <c r="D1815" s="7"/>
      <c r="E1815" s="7"/>
      <c r="F1815" s="7">
        <f t="shared" si="332"/>
        <v>141</v>
      </c>
      <c r="G1815" s="8"/>
      <c r="H1815" s="7">
        <f t="shared" si="328"/>
        <v>0</v>
      </c>
      <c r="I1815" s="7"/>
      <c r="J1815" s="7"/>
      <c r="K1815" s="7"/>
      <c r="L1815" s="7"/>
      <c r="M1815" s="7">
        <v>19</v>
      </c>
      <c r="N1815" s="7"/>
      <c r="O1815" s="7"/>
      <c r="P1815" s="7"/>
      <c r="Q1815" s="7"/>
      <c r="R1815" s="7"/>
      <c r="S1815" s="9">
        <f t="shared" si="329"/>
        <v>160</v>
      </c>
      <c r="T1815" s="10">
        <f t="shared" si="330"/>
        <v>0</v>
      </c>
      <c r="U1815" s="10"/>
    </row>
    <row r="1816" spans="1:21">
      <c r="A1816" s="6"/>
      <c r="B1816" s="11" t="s">
        <v>58</v>
      </c>
      <c r="C1816" s="7" t="s">
        <v>54</v>
      </c>
      <c r="D1816" s="7"/>
      <c r="E1816" s="7"/>
      <c r="F1816" s="7">
        <f t="shared" si="332"/>
        <v>0</v>
      </c>
      <c r="G1816" s="8"/>
      <c r="H1816" s="7">
        <f t="shared" si="328"/>
        <v>0</v>
      </c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9">
        <f t="shared" si="329"/>
        <v>0</v>
      </c>
      <c r="T1816" s="10">
        <f t="shared" si="330"/>
        <v>0</v>
      </c>
      <c r="U1816" s="10"/>
    </row>
    <row r="1817" spans="1:21">
      <c r="A1817" s="6"/>
      <c r="B1817" s="11" t="s">
        <v>59</v>
      </c>
      <c r="C1817" s="7" t="s">
        <v>54</v>
      </c>
      <c r="D1817" s="7"/>
      <c r="E1817" s="7"/>
      <c r="F1817" s="7">
        <f t="shared" si="332"/>
        <v>19</v>
      </c>
      <c r="G1817" s="8"/>
      <c r="H1817" s="7">
        <f t="shared" si="328"/>
        <v>0</v>
      </c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9">
        <f t="shared" si="329"/>
        <v>19</v>
      </c>
      <c r="T1817" s="10">
        <f t="shared" si="330"/>
        <v>0</v>
      </c>
      <c r="U1817" s="10"/>
    </row>
    <row r="1818" spans="1:21">
      <c r="A1818" s="6"/>
      <c r="B1818" s="11" t="s">
        <v>60</v>
      </c>
      <c r="C1818" s="7" t="s">
        <v>61</v>
      </c>
      <c r="D1818" s="7"/>
      <c r="E1818" s="7"/>
      <c r="F1818" s="7">
        <f t="shared" si="332"/>
        <v>0</v>
      </c>
      <c r="G1818" s="8"/>
      <c r="H1818" s="7">
        <f t="shared" si="328"/>
        <v>0</v>
      </c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9">
        <f t="shared" si="329"/>
        <v>0</v>
      </c>
      <c r="T1818" s="10">
        <f t="shared" si="330"/>
        <v>0</v>
      </c>
      <c r="U1818" s="10"/>
    </row>
    <row r="1819" spans="1:21">
      <c r="A1819" s="6"/>
      <c r="B1819" s="11" t="s">
        <v>62</v>
      </c>
      <c r="C1819" s="7" t="s">
        <v>61</v>
      </c>
      <c r="D1819" s="7"/>
      <c r="E1819" s="7"/>
      <c r="F1819" s="7">
        <f t="shared" si="332"/>
        <v>11</v>
      </c>
      <c r="G1819" s="8"/>
      <c r="H1819" s="7">
        <f t="shared" si="328"/>
        <v>0</v>
      </c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9">
        <f t="shared" si="329"/>
        <v>11</v>
      </c>
      <c r="T1819" s="10">
        <f t="shared" si="330"/>
        <v>0</v>
      </c>
      <c r="U1819" s="10"/>
    </row>
    <row r="1820" spans="1:21">
      <c r="A1820" s="6"/>
      <c r="B1820" s="10" t="s">
        <v>63</v>
      </c>
      <c r="C1820" s="10" t="s">
        <v>41</v>
      </c>
      <c r="D1820" s="7"/>
      <c r="E1820" s="7"/>
      <c r="F1820" s="7">
        <f t="shared" si="332"/>
        <v>0</v>
      </c>
      <c r="G1820" s="8"/>
      <c r="H1820" s="7">
        <f t="shared" si="328"/>
        <v>0</v>
      </c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9">
        <f t="shared" si="329"/>
        <v>0</v>
      </c>
      <c r="T1820" s="10">
        <f t="shared" si="330"/>
        <v>0</v>
      </c>
      <c r="U1820" s="10"/>
    </row>
    <row r="1821" spans="1:21">
      <c r="A1821" s="6"/>
      <c r="B1821" s="10" t="s">
        <v>64</v>
      </c>
      <c r="C1821" s="10" t="s">
        <v>41</v>
      </c>
      <c r="D1821" s="7"/>
      <c r="E1821" s="7"/>
      <c r="F1821" s="7">
        <f t="shared" si="332"/>
        <v>5</v>
      </c>
      <c r="G1821" s="8"/>
      <c r="H1821" s="7">
        <f t="shared" si="328"/>
        <v>0</v>
      </c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9">
        <f t="shared" si="329"/>
        <v>5</v>
      </c>
      <c r="T1821" s="10">
        <f t="shared" si="330"/>
        <v>0</v>
      </c>
      <c r="U1821" s="10"/>
    </row>
    <row r="1822" spans="1:21">
      <c r="A1822" s="6"/>
      <c r="B1822" s="11" t="s">
        <v>65</v>
      </c>
      <c r="C1822" s="7" t="s">
        <v>26</v>
      </c>
      <c r="D1822" s="7"/>
      <c r="E1822" s="7"/>
      <c r="F1822" s="7">
        <f t="shared" si="332"/>
        <v>0</v>
      </c>
      <c r="G1822" s="8"/>
      <c r="H1822" s="7">
        <f t="shared" si="328"/>
        <v>0</v>
      </c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9">
        <f t="shared" si="329"/>
        <v>0</v>
      </c>
      <c r="T1822" s="10">
        <f t="shared" si="330"/>
        <v>0</v>
      </c>
      <c r="U1822" s="10"/>
    </row>
    <row r="1823" spans="1:21">
      <c r="A1823" s="6"/>
      <c r="B1823" s="11" t="s">
        <v>66</v>
      </c>
      <c r="C1823" s="7" t="s">
        <v>26</v>
      </c>
      <c r="D1823" s="7"/>
      <c r="E1823" s="7"/>
      <c r="F1823" s="7">
        <f t="shared" si="332"/>
        <v>71</v>
      </c>
      <c r="G1823" s="8"/>
      <c r="H1823" s="7">
        <f t="shared" si="328"/>
        <v>0</v>
      </c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9">
        <f t="shared" si="329"/>
        <v>71</v>
      </c>
      <c r="T1823" s="10">
        <f t="shared" si="330"/>
        <v>0</v>
      </c>
      <c r="U1823" s="10"/>
    </row>
    <row r="1824" spans="1:21">
      <c r="A1824" s="6"/>
      <c r="B1824" s="11" t="s">
        <v>67</v>
      </c>
      <c r="C1824" s="7" t="s">
        <v>26</v>
      </c>
      <c r="D1824" s="7"/>
      <c r="E1824" s="7"/>
      <c r="F1824" s="7">
        <f t="shared" si="332"/>
        <v>0</v>
      </c>
      <c r="G1824" s="8"/>
      <c r="H1824" s="7">
        <f t="shared" si="328"/>
        <v>0</v>
      </c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9">
        <f t="shared" si="329"/>
        <v>0</v>
      </c>
      <c r="T1824" s="10">
        <f t="shared" si="330"/>
        <v>0</v>
      </c>
      <c r="U1824" s="10"/>
    </row>
    <row r="1825" spans="1:21">
      <c r="A1825" s="6"/>
      <c r="B1825" s="11" t="s">
        <v>68</v>
      </c>
      <c r="C1825" s="7" t="s">
        <v>26</v>
      </c>
      <c r="D1825" s="7"/>
      <c r="E1825" s="7"/>
      <c r="F1825" s="7">
        <f t="shared" si="332"/>
        <v>7</v>
      </c>
      <c r="G1825" s="8"/>
      <c r="H1825" s="7">
        <f t="shared" si="328"/>
        <v>0</v>
      </c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9">
        <f t="shared" si="329"/>
        <v>7</v>
      </c>
      <c r="T1825" s="10">
        <f t="shared" si="330"/>
        <v>0</v>
      </c>
      <c r="U1825" s="10"/>
    </row>
    <row r="1826" spans="1:21">
      <c r="A1826" s="6"/>
      <c r="B1826" s="11" t="s">
        <v>69</v>
      </c>
      <c r="C1826" s="7" t="s">
        <v>41</v>
      </c>
      <c r="D1826" s="7"/>
      <c r="E1826" s="7"/>
      <c r="F1826" s="7">
        <f t="shared" ref="F1826:F1840" si="333">S1741</f>
        <v>0</v>
      </c>
      <c r="G1826" s="8"/>
      <c r="H1826" s="7">
        <f t="shared" si="328"/>
        <v>0</v>
      </c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9">
        <f t="shared" si="329"/>
        <v>0</v>
      </c>
      <c r="T1826" s="10">
        <f t="shared" si="330"/>
        <v>0</v>
      </c>
      <c r="U1826" s="10"/>
    </row>
    <row r="1827" spans="1:21">
      <c r="A1827" s="6"/>
      <c r="B1827" s="11" t="s">
        <v>70</v>
      </c>
      <c r="C1827" s="7" t="s">
        <v>41</v>
      </c>
      <c r="D1827" s="7"/>
      <c r="E1827" s="7"/>
      <c r="F1827" s="7">
        <f t="shared" si="333"/>
        <v>13</v>
      </c>
      <c r="G1827" s="8"/>
      <c r="H1827" s="7">
        <f t="shared" si="328"/>
        <v>0</v>
      </c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9">
        <f t="shared" si="329"/>
        <v>13</v>
      </c>
      <c r="T1827" s="10">
        <f t="shared" si="330"/>
        <v>0</v>
      </c>
      <c r="U1827" s="10"/>
    </row>
    <row r="1828" spans="1:21">
      <c r="A1828" s="6"/>
      <c r="B1828" s="11" t="s">
        <v>71</v>
      </c>
      <c r="C1828" s="7" t="s">
        <v>61</v>
      </c>
      <c r="D1828" s="7"/>
      <c r="E1828" s="7"/>
      <c r="F1828" s="7">
        <f t="shared" si="333"/>
        <v>0</v>
      </c>
      <c r="G1828" s="8"/>
      <c r="H1828" s="7">
        <f t="shared" si="328"/>
        <v>0</v>
      </c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9">
        <f t="shared" si="329"/>
        <v>0</v>
      </c>
      <c r="T1828" s="10">
        <f t="shared" si="330"/>
        <v>0</v>
      </c>
      <c r="U1828" s="10"/>
    </row>
    <row r="1829" spans="1:21">
      <c r="A1829" s="6"/>
      <c r="B1829" s="11" t="s">
        <v>72</v>
      </c>
      <c r="C1829" s="7" t="s">
        <v>61</v>
      </c>
      <c r="D1829" s="7"/>
      <c r="E1829" s="7"/>
      <c r="F1829" s="7">
        <f t="shared" si="333"/>
        <v>8</v>
      </c>
      <c r="G1829" s="8"/>
      <c r="H1829" s="7">
        <f t="shared" si="328"/>
        <v>0</v>
      </c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9">
        <f t="shared" si="329"/>
        <v>8</v>
      </c>
      <c r="T1829" s="10">
        <f t="shared" si="330"/>
        <v>0</v>
      </c>
      <c r="U1829" s="10"/>
    </row>
    <row r="1830" spans="1:21">
      <c r="A1830" s="6"/>
      <c r="B1830" s="11" t="s">
        <v>73</v>
      </c>
      <c r="C1830" s="7" t="s">
        <v>26</v>
      </c>
      <c r="D1830" s="7"/>
      <c r="E1830" s="7"/>
      <c r="F1830" s="7">
        <f t="shared" si="333"/>
        <v>0</v>
      </c>
      <c r="G1830" s="8"/>
      <c r="H1830" s="7">
        <f t="shared" si="328"/>
        <v>0</v>
      </c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9">
        <f t="shared" si="329"/>
        <v>0</v>
      </c>
      <c r="T1830" s="10">
        <f t="shared" si="330"/>
        <v>0</v>
      </c>
      <c r="U1830" s="10"/>
    </row>
    <row r="1831" spans="1:21">
      <c r="A1831" s="6"/>
      <c r="B1831" s="11" t="s">
        <v>74</v>
      </c>
      <c r="C1831" s="7" t="s">
        <v>26</v>
      </c>
      <c r="D1831" s="7"/>
      <c r="E1831" s="7"/>
      <c r="F1831" s="7">
        <f t="shared" si="333"/>
        <v>22</v>
      </c>
      <c r="G1831" s="8"/>
      <c r="H1831" s="7">
        <f t="shared" si="328"/>
        <v>0</v>
      </c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9">
        <f t="shared" si="329"/>
        <v>22</v>
      </c>
      <c r="T1831" s="10">
        <f t="shared" si="330"/>
        <v>0</v>
      </c>
      <c r="U1831" s="10"/>
    </row>
    <row r="1832" spans="1:21">
      <c r="A1832" s="6"/>
      <c r="B1832" s="11" t="s">
        <v>75</v>
      </c>
      <c r="C1832" s="7" t="s">
        <v>26</v>
      </c>
      <c r="D1832" s="7"/>
      <c r="E1832" s="7"/>
      <c r="F1832" s="7">
        <f t="shared" si="333"/>
        <v>0</v>
      </c>
      <c r="G1832" s="8"/>
      <c r="H1832" s="7">
        <f t="shared" si="328"/>
        <v>0</v>
      </c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9">
        <f t="shared" si="329"/>
        <v>0</v>
      </c>
      <c r="T1832" s="10">
        <f t="shared" si="330"/>
        <v>0</v>
      </c>
      <c r="U1832" s="10"/>
    </row>
    <row r="1833" spans="1:21">
      <c r="A1833" s="6"/>
      <c r="B1833" s="11" t="s">
        <v>76</v>
      </c>
      <c r="C1833" s="7" t="s">
        <v>26</v>
      </c>
      <c r="D1833" s="7"/>
      <c r="E1833" s="7"/>
      <c r="F1833" s="7">
        <f t="shared" si="333"/>
        <v>20</v>
      </c>
      <c r="G1833" s="8"/>
      <c r="H1833" s="7">
        <f t="shared" si="328"/>
        <v>0</v>
      </c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9">
        <f t="shared" si="329"/>
        <v>20</v>
      </c>
      <c r="T1833" s="10">
        <f t="shared" si="330"/>
        <v>0</v>
      </c>
      <c r="U1833" s="10"/>
    </row>
    <row r="1834" spans="1:21">
      <c r="A1834" s="6"/>
      <c r="B1834" s="11" t="s">
        <v>77</v>
      </c>
      <c r="C1834" s="7" t="s">
        <v>61</v>
      </c>
      <c r="D1834" s="7"/>
      <c r="E1834" s="7"/>
      <c r="F1834" s="7">
        <f t="shared" si="333"/>
        <v>0</v>
      </c>
      <c r="G1834" s="8"/>
      <c r="H1834" s="7">
        <f t="shared" si="328"/>
        <v>0</v>
      </c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9">
        <f t="shared" si="329"/>
        <v>0</v>
      </c>
      <c r="T1834" s="10">
        <f t="shared" si="330"/>
        <v>0</v>
      </c>
      <c r="U1834" s="10"/>
    </row>
    <row r="1835" spans="1:21">
      <c r="A1835" s="6"/>
      <c r="B1835" s="11" t="s">
        <v>78</v>
      </c>
      <c r="C1835" s="7" t="s">
        <v>61</v>
      </c>
      <c r="D1835" s="7"/>
      <c r="E1835" s="7"/>
      <c r="F1835" s="7">
        <f t="shared" si="333"/>
        <v>69</v>
      </c>
      <c r="G1835" s="8"/>
      <c r="H1835" s="7">
        <f t="shared" si="328"/>
        <v>0</v>
      </c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9">
        <f t="shared" ref="S1835:S1894" si="334">F1835+G1835-J1835-K1835-L1835+M1835+O1835-P1835-R1835</f>
        <v>69</v>
      </c>
      <c r="T1835" s="10">
        <f t="shared" ref="T1835:T1894" si="335">H1835+I1835+N1835+R1835-Q1835</f>
        <v>0</v>
      </c>
      <c r="U1835" s="10"/>
    </row>
    <row r="1836" spans="1:21">
      <c r="A1836" s="6"/>
      <c r="B1836" s="11" t="s">
        <v>105</v>
      </c>
      <c r="C1836" s="7" t="s">
        <v>26</v>
      </c>
      <c r="D1836" s="7"/>
      <c r="E1836" s="7"/>
      <c r="F1836" s="7">
        <f t="shared" si="333"/>
        <v>1773</v>
      </c>
      <c r="G1836" s="8"/>
      <c r="H1836" s="7">
        <f t="shared" si="328"/>
        <v>0</v>
      </c>
      <c r="I1836" s="7"/>
      <c r="J1836" s="7">
        <v>240</v>
      </c>
      <c r="K1836" s="7"/>
      <c r="L1836" s="7"/>
      <c r="M1836" s="7"/>
      <c r="N1836" s="7"/>
      <c r="O1836" s="7"/>
      <c r="P1836" s="7"/>
      <c r="Q1836" s="7"/>
      <c r="R1836" s="7"/>
      <c r="S1836" s="9">
        <f t="shared" si="334"/>
        <v>1533</v>
      </c>
      <c r="T1836" s="10">
        <f t="shared" si="335"/>
        <v>0</v>
      </c>
      <c r="U1836" s="10"/>
    </row>
    <row r="1837" spans="1:21">
      <c r="A1837" s="6"/>
      <c r="B1837" s="11" t="s">
        <v>80</v>
      </c>
      <c r="C1837" s="7" t="s">
        <v>26</v>
      </c>
      <c r="D1837" s="7"/>
      <c r="E1837" s="7"/>
      <c r="F1837" s="7">
        <f t="shared" si="333"/>
        <v>441</v>
      </c>
      <c r="G1837" s="8"/>
      <c r="H1837" s="7">
        <f t="shared" si="328"/>
        <v>0</v>
      </c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9">
        <f t="shared" si="334"/>
        <v>441</v>
      </c>
      <c r="T1837" s="10">
        <f t="shared" si="335"/>
        <v>0</v>
      </c>
      <c r="U1837" s="10"/>
    </row>
    <row r="1838" spans="1:21">
      <c r="A1838" s="6"/>
      <c r="B1838" s="11" t="s">
        <v>81</v>
      </c>
      <c r="C1838" s="7" t="s">
        <v>26</v>
      </c>
      <c r="D1838" s="7"/>
      <c r="E1838" s="7"/>
      <c r="F1838" s="7">
        <f t="shared" ref="F1838:F1851" si="336">S1753</f>
        <v>0</v>
      </c>
      <c r="G1838" s="8"/>
      <c r="H1838" s="7">
        <f t="shared" si="328"/>
        <v>0</v>
      </c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9">
        <f t="shared" si="334"/>
        <v>0</v>
      </c>
      <c r="T1838" s="10">
        <f t="shared" si="335"/>
        <v>0</v>
      </c>
      <c r="U1838" s="10"/>
    </row>
    <row r="1839" spans="1:21">
      <c r="A1839" s="6"/>
      <c r="B1839" s="11" t="s">
        <v>82</v>
      </c>
      <c r="C1839" s="7" t="s">
        <v>26</v>
      </c>
      <c r="D1839" s="7"/>
      <c r="E1839" s="7"/>
      <c r="F1839" s="7">
        <f t="shared" si="336"/>
        <v>14</v>
      </c>
      <c r="G1839" s="8"/>
      <c r="H1839" s="7">
        <f t="shared" si="328"/>
        <v>0</v>
      </c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9">
        <f t="shared" si="334"/>
        <v>14</v>
      </c>
      <c r="T1839" s="10">
        <f t="shared" si="335"/>
        <v>0</v>
      </c>
      <c r="U1839" s="10"/>
    </row>
    <row r="1840" spans="1:21">
      <c r="A1840" s="6"/>
      <c r="B1840" s="11" t="s">
        <v>83</v>
      </c>
      <c r="C1840" s="7" t="s">
        <v>26</v>
      </c>
      <c r="D1840" s="7"/>
      <c r="E1840" s="7"/>
      <c r="F1840" s="7">
        <f t="shared" si="336"/>
        <v>0</v>
      </c>
      <c r="G1840" s="8"/>
      <c r="H1840" s="7">
        <f t="shared" si="328"/>
        <v>0</v>
      </c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9">
        <f t="shared" si="334"/>
        <v>0</v>
      </c>
      <c r="T1840" s="10">
        <f t="shared" si="335"/>
        <v>0</v>
      </c>
      <c r="U1840" s="10"/>
    </row>
    <row r="1841" spans="1:21">
      <c r="A1841" s="6"/>
      <c r="B1841" s="11" t="s">
        <v>84</v>
      </c>
      <c r="C1841" s="7" t="s">
        <v>26</v>
      </c>
      <c r="D1841" s="7"/>
      <c r="E1841" s="7"/>
      <c r="F1841" s="7">
        <f t="shared" si="336"/>
        <v>28</v>
      </c>
      <c r="G1841" s="8"/>
      <c r="H1841" s="7">
        <f t="shared" si="328"/>
        <v>0</v>
      </c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9">
        <f t="shared" si="334"/>
        <v>28</v>
      </c>
      <c r="T1841" s="10">
        <f t="shared" si="335"/>
        <v>0</v>
      </c>
      <c r="U1841" s="10"/>
    </row>
    <row r="1842" spans="1:21">
      <c r="A1842" s="6"/>
      <c r="B1842" s="11" t="s">
        <v>85</v>
      </c>
      <c r="C1842" s="7" t="s">
        <v>61</v>
      </c>
      <c r="D1842" s="7"/>
      <c r="E1842" s="7"/>
      <c r="F1842" s="7">
        <f t="shared" si="336"/>
        <v>0</v>
      </c>
      <c r="G1842" s="8"/>
      <c r="H1842" s="7">
        <f t="shared" si="328"/>
        <v>0</v>
      </c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9">
        <f t="shared" si="334"/>
        <v>0</v>
      </c>
      <c r="T1842" s="10">
        <f t="shared" si="335"/>
        <v>0</v>
      </c>
      <c r="U1842" s="10"/>
    </row>
    <row r="1843" spans="1:21">
      <c r="A1843" s="6"/>
      <c r="B1843" s="11" t="s">
        <v>86</v>
      </c>
      <c r="C1843" s="7" t="s">
        <v>61</v>
      </c>
      <c r="D1843" s="7"/>
      <c r="E1843" s="7"/>
      <c r="F1843" s="7">
        <f t="shared" si="336"/>
        <v>10</v>
      </c>
      <c r="G1843" s="8"/>
      <c r="H1843" s="7">
        <f t="shared" si="328"/>
        <v>0</v>
      </c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9">
        <f t="shared" si="334"/>
        <v>10</v>
      </c>
      <c r="T1843" s="10">
        <f t="shared" si="335"/>
        <v>0</v>
      </c>
      <c r="U1843" s="10"/>
    </row>
    <row r="1844" spans="1:21">
      <c r="A1844" s="6"/>
      <c r="B1844" s="11" t="s">
        <v>87</v>
      </c>
      <c r="C1844" s="7" t="s">
        <v>26</v>
      </c>
      <c r="D1844" s="7"/>
      <c r="E1844" s="7"/>
      <c r="F1844" s="7">
        <f t="shared" si="336"/>
        <v>0</v>
      </c>
      <c r="G1844" s="8"/>
      <c r="H1844" s="7">
        <f t="shared" si="328"/>
        <v>0</v>
      </c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9">
        <f t="shared" si="334"/>
        <v>0</v>
      </c>
      <c r="T1844" s="10">
        <f t="shared" si="335"/>
        <v>0</v>
      </c>
      <c r="U1844" s="10"/>
    </row>
    <row r="1845" spans="1:21">
      <c r="A1845" s="6"/>
      <c r="B1845" s="11" t="s">
        <v>88</v>
      </c>
      <c r="C1845" s="10"/>
      <c r="D1845" s="7"/>
      <c r="E1845" s="7"/>
      <c r="F1845" s="7">
        <f t="shared" si="336"/>
        <v>7</v>
      </c>
      <c r="G1845" s="8"/>
      <c r="H1845" s="7">
        <f t="shared" si="328"/>
        <v>0</v>
      </c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9">
        <f t="shared" si="334"/>
        <v>7</v>
      </c>
      <c r="T1845" s="10">
        <f t="shared" si="335"/>
        <v>0</v>
      </c>
      <c r="U1845" s="10"/>
    </row>
    <row r="1846" spans="1:21">
      <c r="A1846" s="6"/>
      <c r="B1846" s="11" t="s">
        <v>89</v>
      </c>
      <c r="C1846" s="7" t="s">
        <v>26</v>
      </c>
      <c r="D1846" s="7"/>
      <c r="E1846" s="7"/>
      <c r="F1846" s="7">
        <f t="shared" si="336"/>
        <v>858</v>
      </c>
      <c r="G1846" s="8"/>
      <c r="H1846" s="7">
        <f t="shared" si="328"/>
        <v>0</v>
      </c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9">
        <f t="shared" si="334"/>
        <v>858</v>
      </c>
      <c r="T1846" s="10">
        <f t="shared" si="335"/>
        <v>0</v>
      </c>
      <c r="U1846" s="10"/>
    </row>
    <row r="1847" spans="1:21">
      <c r="A1847" s="6"/>
      <c r="B1847" s="11" t="s">
        <v>90</v>
      </c>
      <c r="C1847" s="7" t="s">
        <v>26</v>
      </c>
      <c r="D1847" s="7"/>
      <c r="E1847" s="7"/>
      <c r="F1847" s="7">
        <f t="shared" ref="F1847:F1881" si="337">S1762</f>
        <v>0</v>
      </c>
      <c r="G1847" s="8"/>
      <c r="H1847" s="7">
        <f t="shared" si="328"/>
        <v>0</v>
      </c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9">
        <f t="shared" si="334"/>
        <v>0</v>
      </c>
      <c r="T1847" s="10">
        <f t="shared" si="335"/>
        <v>0</v>
      </c>
      <c r="U1847" s="10"/>
    </row>
    <row r="1848" spans="1:21">
      <c r="A1848" s="6"/>
      <c r="B1848" s="11" t="s">
        <v>91</v>
      </c>
      <c r="C1848" s="7" t="s">
        <v>26</v>
      </c>
      <c r="D1848" s="7"/>
      <c r="E1848" s="7"/>
      <c r="F1848" s="7">
        <f t="shared" si="337"/>
        <v>138</v>
      </c>
      <c r="G1848" s="8"/>
      <c r="H1848" s="7">
        <f t="shared" si="328"/>
        <v>0</v>
      </c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9">
        <f t="shared" si="334"/>
        <v>138</v>
      </c>
      <c r="T1848" s="10">
        <f t="shared" si="335"/>
        <v>0</v>
      </c>
      <c r="U1848" s="10"/>
    </row>
    <row r="1849" spans="1:21">
      <c r="A1849" s="6"/>
      <c r="B1849" s="12" t="s">
        <v>92</v>
      </c>
      <c r="C1849" s="13" t="s">
        <v>26</v>
      </c>
      <c r="D1849" s="7"/>
      <c r="E1849" s="7"/>
      <c r="F1849" s="7">
        <f t="shared" si="337"/>
        <v>0</v>
      </c>
      <c r="G1849" s="8">
        <v>1214</v>
      </c>
      <c r="H1849" s="7">
        <f t="shared" si="328"/>
        <v>0</v>
      </c>
      <c r="I1849" s="7"/>
      <c r="J1849" s="7">
        <v>540</v>
      </c>
      <c r="K1849" s="7"/>
      <c r="L1849" s="7"/>
      <c r="M1849" s="7"/>
      <c r="N1849" s="7"/>
      <c r="O1849" s="7"/>
      <c r="P1849" s="7"/>
      <c r="Q1849" s="7"/>
      <c r="R1849" s="7"/>
      <c r="S1849" s="9">
        <f t="shared" si="334"/>
        <v>674</v>
      </c>
      <c r="T1849" s="10">
        <f t="shared" si="335"/>
        <v>0</v>
      </c>
      <c r="U1849" s="10"/>
    </row>
    <row r="1850" spans="1:21">
      <c r="A1850" s="6"/>
      <c r="B1850" s="12" t="s">
        <v>93</v>
      </c>
      <c r="C1850" s="13" t="s">
        <v>26</v>
      </c>
      <c r="D1850" s="7"/>
      <c r="E1850" s="7"/>
      <c r="F1850" s="7">
        <f t="shared" si="337"/>
        <v>3133</v>
      </c>
      <c r="G1850" s="8">
        <v>864</v>
      </c>
      <c r="H1850" s="7">
        <f t="shared" si="328"/>
        <v>0</v>
      </c>
      <c r="I1850" s="7"/>
      <c r="J1850" s="7"/>
      <c r="K1850" s="7"/>
      <c r="L1850" s="7"/>
      <c r="M1850" s="7">
        <v>21</v>
      </c>
      <c r="N1850" s="7"/>
      <c r="O1850" s="7"/>
      <c r="P1850" s="7"/>
      <c r="Q1850" s="7"/>
      <c r="R1850" s="7"/>
      <c r="S1850" s="9">
        <f t="shared" si="334"/>
        <v>4018</v>
      </c>
      <c r="T1850" s="10">
        <f t="shared" si="335"/>
        <v>0</v>
      </c>
      <c r="U1850" s="10"/>
    </row>
    <row r="1851" spans="1:21">
      <c r="A1851" s="6"/>
      <c r="B1851" s="11" t="s">
        <v>94</v>
      </c>
      <c r="C1851" s="7" t="s">
        <v>41</v>
      </c>
      <c r="D1851" s="7"/>
      <c r="E1851" s="7"/>
      <c r="F1851" s="7">
        <f t="shared" si="337"/>
        <v>0</v>
      </c>
      <c r="G1851" s="8"/>
      <c r="H1851" s="7">
        <f t="shared" si="328"/>
        <v>0</v>
      </c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9">
        <f t="shared" si="334"/>
        <v>0</v>
      </c>
      <c r="T1851" s="10">
        <f t="shared" si="335"/>
        <v>0</v>
      </c>
      <c r="U1851" s="10"/>
    </row>
    <row r="1852" spans="1:21">
      <c r="A1852" s="6"/>
      <c r="B1852" s="11" t="s">
        <v>95</v>
      </c>
      <c r="C1852" s="7" t="s">
        <v>41</v>
      </c>
      <c r="D1852" s="7"/>
      <c r="E1852" s="7"/>
      <c r="F1852" s="7">
        <f t="shared" si="337"/>
        <v>39</v>
      </c>
      <c r="G1852" s="8"/>
      <c r="H1852" s="7">
        <f t="shared" si="328"/>
        <v>0</v>
      </c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9">
        <f t="shared" si="334"/>
        <v>39</v>
      </c>
      <c r="T1852" s="10">
        <f t="shared" si="335"/>
        <v>0</v>
      </c>
      <c r="U1852" s="10"/>
    </row>
    <row r="1853" spans="1:21">
      <c r="A1853" s="6"/>
      <c r="B1853" s="11" t="s">
        <v>96</v>
      </c>
      <c r="C1853" s="7" t="s">
        <v>41</v>
      </c>
      <c r="D1853" s="7"/>
      <c r="E1853" s="7"/>
      <c r="F1853" s="7">
        <f t="shared" si="337"/>
        <v>0</v>
      </c>
      <c r="G1853" s="8"/>
      <c r="H1853" s="7">
        <f t="shared" si="328"/>
        <v>0</v>
      </c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9">
        <f t="shared" si="334"/>
        <v>0</v>
      </c>
      <c r="T1853" s="10">
        <f t="shared" si="335"/>
        <v>0</v>
      </c>
      <c r="U1853" s="10"/>
    </row>
    <row r="1854" spans="1:21">
      <c r="A1854" s="6"/>
      <c r="B1854" s="11" t="s">
        <v>97</v>
      </c>
      <c r="C1854" s="7" t="s">
        <v>41</v>
      </c>
      <c r="D1854" s="7"/>
      <c r="E1854" s="7"/>
      <c r="F1854" s="7">
        <f t="shared" si="337"/>
        <v>0</v>
      </c>
      <c r="G1854" s="8"/>
      <c r="H1854" s="7">
        <f t="shared" si="328"/>
        <v>0</v>
      </c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9">
        <f t="shared" si="334"/>
        <v>0</v>
      </c>
      <c r="T1854" s="10">
        <f t="shared" si="335"/>
        <v>0</v>
      </c>
      <c r="U1854" s="10"/>
    </row>
    <row r="1855" spans="1:21">
      <c r="A1855" s="6"/>
      <c r="B1855" s="11" t="s">
        <v>98</v>
      </c>
      <c r="C1855" s="7" t="s">
        <v>26</v>
      </c>
      <c r="D1855" s="7"/>
      <c r="E1855" s="7"/>
      <c r="F1855" s="7">
        <f t="shared" si="337"/>
        <v>169</v>
      </c>
      <c r="G1855" s="8">
        <v>992</v>
      </c>
      <c r="H1855" s="7">
        <f t="shared" si="328"/>
        <v>0</v>
      </c>
      <c r="I1855" s="7"/>
      <c r="J1855" s="7">
        <v>300</v>
      </c>
      <c r="K1855" s="7"/>
      <c r="L1855" s="7"/>
      <c r="M1855" s="7"/>
      <c r="N1855" s="7"/>
      <c r="O1855" s="7"/>
      <c r="P1855" s="7"/>
      <c r="Q1855" s="7"/>
      <c r="R1855" s="7"/>
      <c r="S1855" s="9">
        <f t="shared" si="334"/>
        <v>861</v>
      </c>
      <c r="T1855" s="10">
        <f t="shared" si="335"/>
        <v>0</v>
      </c>
      <c r="U1855" s="10"/>
    </row>
    <row r="1856" spans="1:21">
      <c r="A1856" s="6"/>
      <c r="B1856" s="11" t="s">
        <v>99</v>
      </c>
      <c r="C1856" s="7" t="s">
        <v>26</v>
      </c>
      <c r="D1856" s="7"/>
      <c r="E1856" s="7"/>
      <c r="F1856" s="7">
        <f t="shared" si="337"/>
        <v>1319</v>
      </c>
      <c r="G1856" s="8">
        <v>216</v>
      </c>
      <c r="H1856" s="7">
        <f t="shared" si="328"/>
        <v>0</v>
      </c>
      <c r="I1856" s="7"/>
      <c r="J1856" s="7"/>
      <c r="K1856" s="7"/>
      <c r="L1856" s="7"/>
      <c r="M1856" s="7">
        <v>45</v>
      </c>
      <c r="N1856" s="7"/>
      <c r="O1856" s="7"/>
      <c r="P1856" s="7"/>
      <c r="Q1856" s="7"/>
      <c r="R1856" s="7"/>
      <c r="S1856" s="9">
        <f t="shared" si="334"/>
        <v>1580</v>
      </c>
      <c r="T1856" s="10">
        <f t="shared" si="335"/>
        <v>0</v>
      </c>
      <c r="U1856" s="10"/>
    </row>
    <row r="1857" spans="1:25">
      <c r="A1857" s="6"/>
      <c r="B1857" s="11" t="s">
        <v>100</v>
      </c>
      <c r="C1857" s="7" t="s">
        <v>26</v>
      </c>
      <c r="D1857" s="7"/>
      <c r="E1857" s="7"/>
      <c r="F1857" s="7">
        <f t="shared" si="337"/>
        <v>319</v>
      </c>
      <c r="G1857" s="8"/>
      <c r="H1857" s="7">
        <f t="shared" si="328"/>
        <v>0</v>
      </c>
      <c r="I1857" s="7"/>
      <c r="J1857" s="7">
        <v>144</v>
      </c>
      <c r="K1857" s="7"/>
      <c r="L1857" s="7"/>
      <c r="M1857" s="7"/>
      <c r="N1857" s="7"/>
      <c r="O1857" s="7"/>
      <c r="P1857" s="7"/>
      <c r="Q1857" s="7"/>
      <c r="R1857" s="7"/>
      <c r="S1857" s="9">
        <f t="shared" si="334"/>
        <v>175</v>
      </c>
      <c r="T1857" s="10">
        <f t="shared" si="335"/>
        <v>0</v>
      </c>
      <c r="U1857" s="10"/>
    </row>
    <row r="1858" spans="1:25">
      <c r="A1858" s="6"/>
      <c r="B1858" s="11" t="s">
        <v>101</v>
      </c>
      <c r="C1858" s="7" t="s">
        <v>26</v>
      </c>
      <c r="D1858" s="7"/>
      <c r="E1858" s="7"/>
      <c r="F1858" s="7">
        <f t="shared" si="337"/>
        <v>408</v>
      </c>
      <c r="G1858" s="8"/>
      <c r="H1858" s="7">
        <f t="shared" si="328"/>
        <v>0</v>
      </c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9">
        <f t="shared" si="334"/>
        <v>408</v>
      </c>
      <c r="T1858" s="10">
        <f t="shared" si="335"/>
        <v>0</v>
      </c>
      <c r="U1858" s="10"/>
    </row>
    <row r="1859" spans="1:25">
      <c r="A1859" s="6"/>
      <c r="B1859" s="11" t="s">
        <v>102</v>
      </c>
      <c r="C1859" s="7" t="s">
        <v>26</v>
      </c>
      <c r="D1859" s="7"/>
      <c r="E1859" s="7"/>
      <c r="F1859" s="7">
        <f t="shared" si="337"/>
        <v>290</v>
      </c>
      <c r="G1859" s="8"/>
      <c r="H1859" s="7">
        <f t="shared" si="328"/>
        <v>0</v>
      </c>
      <c r="I1859" s="7"/>
      <c r="J1859" s="7">
        <v>216</v>
      </c>
      <c r="K1859" s="7"/>
      <c r="L1859" s="7"/>
      <c r="M1859" s="7"/>
      <c r="N1859" s="7"/>
      <c r="O1859" s="7"/>
      <c r="P1859" s="7"/>
      <c r="Q1859" s="7"/>
      <c r="R1859" s="7"/>
      <c r="S1859" s="9">
        <f t="shared" si="334"/>
        <v>74</v>
      </c>
      <c r="T1859" s="10">
        <f t="shared" si="335"/>
        <v>0</v>
      </c>
      <c r="U1859" s="10"/>
    </row>
    <row r="1860" spans="1:25">
      <c r="A1860" s="6"/>
      <c r="B1860" s="11" t="s">
        <v>103</v>
      </c>
      <c r="C1860" s="7" t="s">
        <v>26</v>
      </c>
      <c r="D1860" s="7"/>
      <c r="E1860" s="7"/>
      <c r="F1860" s="7">
        <f t="shared" si="337"/>
        <v>326</v>
      </c>
      <c r="G1860" s="8"/>
      <c r="H1860" s="7">
        <f t="shared" si="328"/>
        <v>0</v>
      </c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9">
        <f t="shared" si="334"/>
        <v>326</v>
      </c>
      <c r="T1860" s="10">
        <f t="shared" si="335"/>
        <v>0</v>
      </c>
      <c r="U1860" s="10"/>
    </row>
    <row r="1861" spans="1:25">
      <c r="A1861" s="6"/>
      <c r="B1861" s="11" t="s">
        <v>112</v>
      </c>
      <c r="C1861" s="7" t="s">
        <v>113</v>
      </c>
      <c r="D1861" s="7"/>
      <c r="E1861" s="7"/>
      <c r="F1861" s="7">
        <f t="shared" si="337"/>
        <v>1100</v>
      </c>
      <c r="G1861" s="8"/>
      <c r="H1861" s="7">
        <f t="shared" ref="H1861:H1881" si="338">T1776</f>
        <v>0</v>
      </c>
      <c r="I1861" s="7"/>
      <c r="J1861" s="7"/>
      <c r="K1861" s="7"/>
      <c r="L1861" s="7"/>
      <c r="M1861" s="7"/>
      <c r="N1861" s="7"/>
      <c r="O1861" s="7">
        <v>23</v>
      </c>
      <c r="P1861" s="7"/>
      <c r="Q1861" s="7"/>
      <c r="R1861" s="7"/>
      <c r="S1861" s="9">
        <f t="shared" si="334"/>
        <v>1123</v>
      </c>
      <c r="T1861" s="10">
        <f t="shared" si="335"/>
        <v>0</v>
      </c>
      <c r="U1861" s="10"/>
    </row>
    <row r="1862" spans="1:25">
      <c r="A1862" s="6"/>
      <c r="B1862" s="11"/>
      <c r="C1862" s="7"/>
      <c r="D1862" s="7"/>
      <c r="E1862" s="7"/>
      <c r="F1862" s="7">
        <f t="shared" si="337"/>
        <v>0</v>
      </c>
      <c r="G1862" s="8"/>
      <c r="H1862" s="7">
        <f t="shared" si="338"/>
        <v>0</v>
      </c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9">
        <f t="shared" si="334"/>
        <v>0</v>
      </c>
      <c r="T1862" s="10">
        <f t="shared" si="335"/>
        <v>0</v>
      </c>
      <c r="U1862" s="10"/>
    </row>
    <row r="1863" spans="1:25">
      <c r="A1863" s="6"/>
      <c r="B1863" s="11"/>
      <c r="C1863" s="7"/>
      <c r="D1863" s="7"/>
      <c r="E1863" s="7"/>
      <c r="F1863" s="7">
        <f t="shared" si="337"/>
        <v>0</v>
      </c>
      <c r="G1863" s="8"/>
      <c r="H1863" s="7">
        <f t="shared" si="338"/>
        <v>0</v>
      </c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9">
        <f t="shared" si="334"/>
        <v>0</v>
      </c>
      <c r="T1863" s="10">
        <f t="shared" si="335"/>
        <v>0</v>
      </c>
      <c r="U1863" s="10"/>
    </row>
    <row r="1864" spans="1:25">
      <c r="A1864" s="6"/>
      <c r="B1864" s="11"/>
      <c r="C1864" s="7"/>
      <c r="D1864" s="7"/>
      <c r="E1864" s="7"/>
      <c r="F1864" s="7">
        <f t="shared" si="337"/>
        <v>0</v>
      </c>
      <c r="G1864" s="8"/>
      <c r="H1864" s="7">
        <f t="shared" si="338"/>
        <v>0</v>
      </c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9">
        <f t="shared" si="334"/>
        <v>0</v>
      </c>
      <c r="T1864" s="10">
        <f t="shared" si="335"/>
        <v>0</v>
      </c>
      <c r="U1864" s="10"/>
    </row>
    <row r="1865" spans="1:25">
      <c r="A1865" s="6"/>
      <c r="B1865" s="11"/>
      <c r="C1865" s="7"/>
      <c r="D1865" s="7"/>
      <c r="E1865" s="7"/>
      <c r="F1865" s="7">
        <f t="shared" si="337"/>
        <v>0</v>
      </c>
      <c r="G1865" s="8"/>
      <c r="H1865" s="7">
        <f t="shared" si="338"/>
        <v>0</v>
      </c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9">
        <f t="shared" si="334"/>
        <v>0</v>
      </c>
      <c r="T1865" s="10">
        <f t="shared" si="335"/>
        <v>0</v>
      </c>
      <c r="U1865" s="10"/>
    </row>
    <row r="1866" spans="1:25">
      <c r="A1866" s="6"/>
      <c r="B1866" s="11"/>
      <c r="C1866" s="7"/>
      <c r="D1866" s="7"/>
      <c r="E1866" s="7"/>
      <c r="F1866" s="7">
        <f t="shared" si="337"/>
        <v>0</v>
      </c>
      <c r="G1866" s="8"/>
      <c r="H1866" s="7">
        <f t="shared" si="338"/>
        <v>0</v>
      </c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9">
        <f t="shared" si="334"/>
        <v>0</v>
      </c>
      <c r="T1866" s="10">
        <f t="shared" si="335"/>
        <v>0</v>
      </c>
      <c r="U1866" s="10"/>
    </row>
    <row r="1867" spans="1:25">
      <c r="A1867" s="6"/>
      <c r="B1867" s="11"/>
      <c r="C1867" s="7"/>
      <c r="D1867" s="7"/>
      <c r="E1867" s="7"/>
      <c r="F1867" s="7">
        <f t="shared" si="337"/>
        <v>0</v>
      </c>
      <c r="G1867" s="8"/>
      <c r="H1867" s="7">
        <f t="shared" si="338"/>
        <v>0</v>
      </c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9">
        <f t="shared" si="334"/>
        <v>0</v>
      </c>
      <c r="T1867" s="10">
        <f t="shared" si="335"/>
        <v>0</v>
      </c>
      <c r="U1867" s="10"/>
    </row>
    <row r="1868" spans="1:25">
      <c r="A1868" s="6"/>
      <c r="B1868" s="11"/>
      <c r="C1868" s="7"/>
      <c r="D1868" s="7"/>
      <c r="E1868" s="7"/>
      <c r="F1868" s="7">
        <f t="shared" si="337"/>
        <v>0</v>
      </c>
      <c r="G1868" s="8"/>
      <c r="H1868" s="7">
        <f t="shared" si="338"/>
        <v>0</v>
      </c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9">
        <f t="shared" si="334"/>
        <v>0</v>
      </c>
      <c r="T1868" s="10">
        <f t="shared" si="335"/>
        <v>0</v>
      </c>
      <c r="U1868" s="10"/>
    </row>
    <row r="1869" spans="1:25">
      <c r="A1869" s="6"/>
      <c r="B1869" s="11"/>
      <c r="C1869" s="7"/>
      <c r="D1869" s="7"/>
      <c r="E1869" s="7"/>
      <c r="F1869" s="7">
        <f t="shared" si="337"/>
        <v>0</v>
      </c>
      <c r="G1869" s="8"/>
      <c r="H1869" s="7">
        <f t="shared" si="338"/>
        <v>0</v>
      </c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9">
        <f t="shared" si="334"/>
        <v>0</v>
      </c>
      <c r="T1869" s="10">
        <f t="shared" si="335"/>
        <v>0</v>
      </c>
      <c r="U1869" s="10"/>
    </row>
    <row r="1870" spans="1:25">
      <c r="A1870" s="6"/>
      <c r="B1870" s="11"/>
      <c r="C1870" s="7"/>
      <c r="D1870" s="7"/>
      <c r="E1870" s="7"/>
      <c r="F1870" s="7">
        <f t="shared" si="337"/>
        <v>0</v>
      </c>
      <c r="G1870" s="8"/>
      <c r="H1870" s="7">
        <f t="shared" si="338"/>
        <v>0</v>
      </c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9">
        <f t="shared" si="334"/>
        <v>0</v>
      </c>
      <c r="T1870" s="10">
        <f t="shared" si="335"/>
        <v>0</v>
      </c>
      <c r="U1870" s="10"/>
    </row>
    <row r="1871" spans="1:25">
      <c r="A1871" s="6"/>
      <c r="B1871" s="11"/>
      <c r="C1871" s="7"/>
      <c r="D1871" s="7"/>
      <c r="E1871" s="7"/>
      <c r="F1871" s="7">
        <f t="shared" si="337"/>
        <v>0</v>
      </c>
      <c r="G1871" s="8"/>
      <c r="H1871" s="7">
        <f t="shared" si="338"/>
        <v>0</v>
      </c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9">
        <f t="shared" si="334"/>
        <v>0</v>
      </c>
      <c r="T1871" s="10">
        <f t="shared" si="335"/>
        <v>0</v>
      </c>
      <c r="U1871" s="10"/>
      <c r="V1871">
        <f>X1871*0.1</f>
        <v>0</v>
      </c>
      <c r="W1871">
        <f>E1871*S1871*1.5</f>
        <v>0</v>
      </c>
      <c r="X1871">
        <f>J1871+K1871</f>
        <v>0</v>
      </c>
      <c r="Y1871">
        <f>X1871*0.13</f>
        <v>0</v>
      </c>
    </row>
    <row r="1872" spans="1:25">
      <c r="A1872" s="6">
        <v>46165</v>
      </c>
      <c r="B1872" t="s">
        <v>25</v>
      </c>
      <c r="C1872" s="7" t="s">
        <v>26</v>
      </c>
      <c r="D1872" s="7"/>
      <c r="E1872" s="7"/>
      <c r="F1872" s="7">
        <f t="shared" si="337"/>
        <v>209</v>
      </c>
      <c r="G1872" s="8"/>
      <c r="H1872" s="7">
        <f t="shared" si="338"/>
        <v>0</v>
      </c>
      <c r="I1872" s="7"/>
      <c r="J1872" s="7">
        <v>120</v>
      </c>
      <c r="K1872" s="7">
        <v>50</v>
      </c>
      <c r="L1872" s="7"/>
      <c r="M1872" s="7"/>
      <c r="N1872" s="7"/>
      <c r="O1872" s="7"/>
      <c r="P1872" s="7"/>
      <c r="Q1872" s="7"/>
      <c r="R1872" s="7"/>
      <c r="S1872" s="9">
        <f t="shared" si="334"/>
        <v>39</v>
      </c>
      <c r="T1872" s="10">
        <f t="shared" si="335"/>
        <v>0</v>
      </c>
      <c r="U1872" s="10"/>
      <c r="V1872">
        <f t="shared" ref="V1872:V1878" si="339">X1872*0.1</f>
        <v>17</v>
      </c>
      <c r="W1872">
        <f t="shared" ref="W1872:W1878" si="340">E1872*S1872*1.5</f>
        <v>0</v>
      </c>
      <c r="X1872">
        <f t="shared" ref="X1872:X1878" si="341">J1872+K1872</f>
        <v>170</v>
      </c>
      <c r="Y1872">
        <f t="shared" ref="Y1872:Y1878" si="342">X1872*0.13</f>
        <v>22.1</v>
      </c>
    </row>
    <row r="1873" spans="1:25">
      <c r="A1873" s="6"/>
      <c r="B1873" t="s">
        <v>27</v>
      </c>
      <c r="C1873" s="7" t="s">
        <v>26</v>
      </c>
      <c r="D1873" s="7"/>
      <c r="E1873" s="7"/>
      <c r="F1873" s="7">
        <f t="shared" si="337"/>
        <v>769</v>
      </c>
      <c r="G1873" s="8"/>
      <c r="H1873" s="7">
        <f t="shared" si="338"/>
        <v>0</v>
      </c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9">
        <f t="shared" si="334"/>
        <v>769</v>
      </c>
      <c r="T1873" s="10">
        <f t="shared" si="335"/>
        <v>0</v>
      </c>
      <c r="U1873" s="10"/>
      <c r="V1873">
        <f t="shared" si="339"/>
        <v>0</v>
      </c>
      <c r="W1873">
        <f t="shared" si="340"/>
        <v>0</v>
      </c>
      <c r="X1873">
        <f t="shared" si="341"/>
        <v>0</v>
      </c>
      <c r="Y1873">
        <f t="shared" si="342"/>
        <v>0</v>
      </c>
    </row>
    <row r="1874" spans="1:25">
      <c r="A1874" s="6"/>
      <c r="B1874" s="6" t="s">
        <v>28</v>
      </c>
      <c r="C1874" s="7" t="s">
        <v>26</v>
      </c>
      <c r="D1874" s="7"/>
      <c r="E1874" s="7"/>
      <c r="F1874" s="7">
        <f t="shared" si="337"/>
        <v>786</v>
      </c>
      <c r="G1874" s="8"/>
      <c r="H1874" s="7">
        <f t="shared" si="338"/>
        <v>0</v>
      </c>
      <c r="I1874" s="7"/>
      <c r="J1874" s="7"/>
      <c r="K1874" s="7"/>
      <c r="L1874" s="7"/>
      <c r="M1874" s="7">
        <v>1</v>
      </c>
      <c r="N1874" s="7"/>
      <c r="O1874" s="7"/>
      <c r="P1874" s="7"/>
      <c r="Q1874" s="7"/>
      <c r="R1874" s="7"/>
      <c r="S1874" s="9">
        <f t="shared" si="334"/>
        <v>787</v>
      </c>
      <c r="T1874" s="10">
        <f t="shared" si="335"/>
        <v>0</v>
      </c>
      <c r="U1874" s="10"/>
      <c r="V1874">
        <f t="shared" si="339"/>
        <v>0</v>
      </c>
      <c r="W1874">
        <f t="shared" si="340"/>
        <v>0</v>
      </c>
      <c r="X1874">
        <f t="shared" si="341"/>
        <v>0</v>
      </c>
      <c r="Y1874">
        <f t="shared" si="342"/>
        <v>0</v>
      </c>
    </row>
    <row r="1875" spans="1:25">
      <c r="A1875" s="6"/>
      <c r="B1875" s="6" t="s">
        <v>29</v>
      </c>
      <c r="C1875" s="7" t="s">
        <v>26</v>
      </c>
      <c r="D1875" s="7"/>
      <c r="E1875" s="7"/>
      <c r="F1875" s="7">
        <f t="shared" si="337"/>
        <v>318</v>
      </c>
      <c r="G1875" s="8"/>
      <c r="H1875" s="7">
        <f t="shared" si="338"/>
        <v>0</v>
      </c>
      <c r="I1875" s="7"/>
      <c r="J1875" s="7"/>
      <c r="K1875" s="7"/>
      <c r="L1875" s="7"/>
      <c r="M1875" s="7">
        <v>44</v>
      </c>
      <c r="N1875" s="7"/>
      <c r="O1875" s="7"/>
      <c r="P1875" s="7"/>
      <c r="Q1875" s="7"/>
      <c r="R1875" s="7"/>
      <c r="S1875" s="9">
        <f t="shared" si="334"/>
        <v>362</v>
      </c>
      <c r="T1875" s="10">
        <f t="shared" si="335"/>
        <v>0</v>
      </c>
      <c r="U1875" s="10"/>
      <c r="V1875">
        <f t="shared" si="339"/>
        <v>0</v>
      </c>
      <c r="W1875">
        <f t="shared" si="340"/>
        <v>0</v>
      </c>
      <c r="X1875">
        <f t="shared" si="341"/>
        <v>0</v>
      </c>
      <c r="Y1875">
        <f t="shared" si="342"/>
        <v>0</v>
      </c>
    </row>
    <row r="1876" spans="1:25">
      <c r="A1876" s="6"/>
      <c r="B1876" s="6" t="s">
        <v>30</v>
      </c>
      <c r="C1876" s="7" t="s">
        <v>26</v>
      </c>
      <c r="D1876" s="7"/>
      <c r="E1876" s="7"/>
      <c r="F1876" s="7">
        <f t="shared" si="337"/>
        <v>1624</v>
      </c>
      <c r="G1876" s="8"/>
      <c r="H1876" s="7">
        <f t="shared" si="338"/>
        <v>0</v>
      </c>
      <c r="I1876" s="7"/>
      <c r="J1876" s="7">
        <v>120</v>
      </c>
      <c r="K1876" s="7"/>
      <c r="L1876" s="7"/>
      <c r="M1876" s="7"/>
      <c r="N1876" s="7"/>
      <c r="O1876" s="7"/>
      <c r="P1876" s="7"/>
      <c r="Q1876" s="7"/>
      <c r="R1876" s="7"/>
      <c r="S1876" s="9">
        <f t="shared" si="334"/>
        <v>1504</v>
      </c>
      <c r="T1876" s="10">
        <f t="shared" si="335"/>
        <v>0</v>
      </c>
      <c r="U1876" s="10"/>
      <c r="V1876">
        <f t="shared" si="339"/>
        <v>12</v>
      </c>
      <c r="W1876">
        <f t="shared" si="340"/>
        <v>0</v>
      </c>
      <c r="X1876">
        <f t="shared" si="341"/>
        <v>120</v>
      </c>
      <c r="Y1876">
        <f t="shared" si="342"/>
        <v>15.6</v>
      </c>
    </row>
    <row r="1877" spans="1:25">
      <c r="A1877" s="6"/>
      <c r="B1877" s="6" t="s">
        <v>31</v>
      </c>
      <c r="C1877" s="7" t="s">
        <v>26</v>
      </c>
      <c r="D1877" s="7"/>
      <c r="E1877" s="7"/>
      <c r="F1877" s="7">
        <f t="shared" si="337"/>
        <v>1666</v>
      </c>
      <c r="G1877" s="8"/>
      <c r="H1877" s="7">
        <f t="shared" si="338"/>
        <v>0</v>
      </c>
      <c r="I1877" s="7"/>
      <c r="J1877" s="7"/>
      <c r="K1877" s="7"/>
      <c r="L1877" s="7"/>
      <c r="M1877" s="7">
        <v>33</v>
      </c>
      <c r="N1877" s="7"/>
      <c r="O1877" s="7"/>
      <c r="P1877" s="7"/>
      <c r="Q1877" s="7"/>
      <c r="R1877" s="7"/>
      <c r="S1877" s="9">
        <f t="shared" si="334"/>
        <v>1699</v>
      </c>
      <c r="T1877" s="10">
        <f t="shared" si="335"/>
        <v>0</v>
      </c>
      <c r="U1877" s="10"/>
      <c r="V1877">
        <f t="shared" si="339"/>
        <v>0</v>
      </c>
      <c r="W1877">
        <f t="shared" si="340"/>
        <v>0</v>
      </c>
      <c r="X1877">
        <f t="shared" si="341"/>
        <v>0</v>
      </c>
      <c r="Y1877">
        <f t="shared" si="342"/>
        <v>0</v>
      </c>
    </row>
    <row r="1878" spans="1:25">
      <c r="A1878" s="6"/>
      <c r="B1878" s="6" t="s">
        <v>32</v>
      </c>
      <c r="C1878" s="7" t="s">
        <v>26</v>
      </c>
      <c r="D1878" s="7"/>
      <c r="E1878" s="7"/>
      <c r="F1878" s="7">
        <f t="shared" si="337"/>
        <v>642</v>
      </c>
      <c r="G1878" s="8"/>
      <c r="H1878" s="7">
        <f t="shared" si="338"/>
        <v>0</v>
      </c>
      <c r="I1878" s="7"/>
      <c r="J1878" s="7">
        <v>45</v>
      </c>
      <c r="K1878" s="7"/>
      <c r="L1878" s="7"/>
      <c r="M1878" s="7">
        <v>1</v>
      </c>
      <c r="N1878" s="7"/>
      <c r="O1878" s="7"/>
      <c r="P1878" s="7"/>
      <c r="Q1878" s="7"/>
      <c r="R1878" s="7"/>
      <c r="S1878" s="9">
        <f t="shared" si="334"/>
        <v>598</v>
      </c>
      <c r="T1878" s="10">
        <f t="shared" si="335"/>
        <v>0</v>
      </c>
      <c r="U1878" s="10"/>
      <c r="V1878">
        <f t="shared" si="339"/>
        <v>4.5</v>
      </c>
      <c r="W1878">
        <f t="shared" si="340"/>
        <v>0</v>
      </c>
      <c r="X1878">
        <f t="shared" si="341"/>
        <v>45</v>
      </c>
      <c r="Y1878">
        <f t="shared" si="342"/>
        <v>5.85</v>
      </c>
    </row>
    <row r="1879" spans="1:25">
      <c r="A1879" s="6"/>
      <c r="B1879" s="6" t="s">
        <v>33</v>
      </c>
      <c r="C1879" s="7" t="s">
        <v>26</v>
      </c>
      <c r="D1879" s="7"/>
      <c r="E1879" s="7"/>
      <c r="F1879" s="7">
        <f t="shared" si="337"/>
        <v>1753</v>
      </c>
      <c r="G1879" s="8"/>
      <c r="H1879" s="7">
        <f t="shared" si="338"/>
        <v>0</v>
      </c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9">
        <f t="shared" si="334"/>
        <v>1753</v>
      </c>
      <c r="T1879" s="10">
        <f t="shared" si="335"/>
        <v>0</v>
      </c>
      <c r="U1879" s="10"/>
    </row>
    <row r="1880" spans="1:25">
      <c r="A1880" s="6"/>
      <c r="B1880" s="11" t="s">
        <v>34</v>
      </c>
      <c r="C1880" s="7" t="s">
        <v>26</v>
      </c>
      <c r="D1880" s="7"/>
      <c r="E1880" s="7"/>
      <c r="F1880" s="7">
        <f t="shared" si="337"/>
        <v>17</v>
      </c>
      <c r="G1880" s="8"/>
      <c r="H1880" s="7">
        <f t="shared" si="338"/>
        <v>0</v>
      </c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9">
        <f t="shared" si="334"/>
        <v>17</v>
      </c>
      <c r="T1880" s="10">
        <f t="shared" si="335"/>
        <v>0</v>
      </c>
      <c r="U1880" s="10"/>
    </row>
    <row r="1881" spans="1:25">
      <c r="A1881" s="6"/>
      <c r="B1881" s="11" t="s">
        <v>35</v>
      </c>
      <c r="C1881" s="7" t="s">
        <v>26</v>
      </c>
      <c r="D1881" s="7"/>
      <c r="E1881" s="7"/>
      <c r="F1881" s="7">
        <f t="shared" si="337"/>
        <v>120</v>
      </c>
      <c r="G1881" s="8"/>
      <c r="H1881" s="7">
        <f t="shared" si="338"/>
        <v>0</v>
      </c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9">
        <f t="shared" si="334"/>
        <v>120</v>
      </c>
      <c r="T1881" s="10">
        <f t="shared" si="335"/>
        <v>0</v>
      </c>
      <c r="U1881" s="10"/>
    </row>
    <row r="1882" spans="1:25">
      <c r="A1882" s="6"/>
      <c r="B1882" s="11" t="s">
        <v>36</v>
      </c>
      <c r="C1882" s="7" t="s">
        <v>26</v>
      </c>
      <c r="D1882" s="7"/>
      <c r="E1882" s="7"/>
      <c r="F1882" s="7">
        <f t="shared" ref="F1882:F1918" si="343">S1797</f>
        <v>6386</v>
      </c>
      <c r="G1882" s="8"/>
      <c r="H1882" s="7">
        <f t="shared" ref="H1882:H1919" si="344">T1797</f>
        <v>0</v>
      </c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9">
        <f t="shared" si="334"/>
        <v>6386</v>
      </c>
      <c r="T1882" s="10">
        <f t="shared" si="335"/>
        <v>0</v>
      </c>
      <c r="U1882" s="10"/>
    </row>
    <row r="1883" spans="1:25">
      <c r="A1883" s="6"/>
      <c r="B1883" s="11" t="s">
        <v>37</v>
      </c>
      <c r="C1883" s="7" t="s">
        <v>26</v>
      </c>
      <c r="D1883" s="7"/>
      <c r="E1883" s="7"/>
      <c r="F1883" s="7">
        <f t="shared" si="343"/>
        <v>1559</v>
      </c>
      <c r="G1883" s="8"/>
      <c r="H1883" s="7">
        <f t="shared" si="344"/>
        <v>0</v>
      </c>
      <c r="I1883" s="7"/>
      <c r="J1883" s="7"/>
      <c r="K1883" s="7"/>
      <c r="L1883" s="7"/>
      <c r="M1883" s="7">
        <v>20</v>
      </c>
      <c r="N1883" s="7"/>
      <c r="O1883" s="7"/>
      <c r="P1883" s="7"/>
      <c r="Q1883" s="7"/>
      <c r="R1883" s="7"/>
      <c r="S1883" s="9">
        <f t="shared" si="334"/>
        <v>1579</v>
      </c>
      <c r="T1883" s="10">
        <f t="shared" si="335"/>
        <v>0</v>
      </c>
      <c r="U1883" s="10"/>
    </row>
    <row r="1884" spans="1:25">
      <c r="A1884" s="6"/>
      <c r="B1884" s="11" t="s">
        <v>38</v>
      </c>
      <c r="C1884" s="7" t="s">
        <v>26</v>
      </c>
      <c r="D1884" s="7"/>
      <c r="E1884" s="7"/>
      <c r="F1884" s="7">
        <f t="shared" si="343"/>
        <v>0</v>
      </c>
      <c r="G1884" s="8"/>
      <c r="H1884" s="7">
        <f t="shared" si="344"/>
        <v>0</v>
      </c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9">
        <f t="shared" si="334"/>
        <v>0</v>
      </c>
      <c r="T1884" s="10">
        <f t="shared" si="335"/>
        <v>0</v>
      </c>
      <c r="U1884" s="10"/>
    </row>
    <row r="1885" spans="1:25">
      <c r="A1885" s="6"/>
      <c r="B1885" s="11" t="s">
        <v>39</v>
      </c>
      <c r="C1885" s="7" t="s">
        <v>26</v>
      </c>
      <c r="D1885" s="7"/>
      <c r="E1885" s="7"/>
      <c r="F1885" s="7">
        <f t="shared" si="343"/>
        <v>1933</v>
      </c>
      <c r="G1885" s="8"/>
      <c r="H1885" s="7">
        <f t="shared" si="344"/>
        <v>0</v>
      </c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9">
        <f t="shared" si="334"/>
        <v>1933</v>
      </c>
      <c r="T1885" s="10">
        <f t="shared" si="335"/>
        <v>0</v>
      </c>
      <c r="U1885" s="10"/>
    </row>
    <row r="1886" spans="1:25">
      <c r="A1886" s="6"/>
      <c r="B1886" s="11" t="s">
        <v>40</v>
      </c>
      <c r="C1886" s="7" t="s">
        <v>41</v>
      </c>
      <c r="D1886" s="7"/>
      <c r="E1886" s="7"/>
      <c r="F1886" s="7">
        <f t="shared" si="343"/>
        <v>0</v>
      </c>
      <c r="G1886" s="8"/>
      <c r="H1886" s="7">
        <f t="shared" si="344"/>
        <v>0</v>
      </c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9">
        <f t="shared" si="334"/>
        <v>0</v>
      </c>
      <c r="T1886" s="10">
        <f t="shared" si="335"/>
        <v>0</v>
      </c>
      <c r="U1886" s="10"/>
    </row>
    <row r="1887" spans="1:25">
      <c r="A1887" s="6"/>
      <c r="B1887" s="11" t="s">
        <v>42</v>
      </c>
      <c r="C1887" s="7" t="s">
        <v>41</v>
      </c>
      <c r="D1887" s="7"/>
      <c r="E1887" s="7"/>
      <c r="F1887" s="7">
        <f t="shared" si="343"/>
        <v>53</v>
      </c>
      <c r="G1887" s="8"/>
      <c r="H1887" s="7">
        <f t="shared" si="344"/>
        <v>0</v>
      </c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9">
        <f t="shared" si="334"/>
        <v>53</v>
      </c>
      <c r="T1887" s="10">
        <f t="shared" si="335"/>
        <v>0</v>
      </c>
      <c r="U1887" s="10"/>
    </row>
    <row r="1888" spans="1:25">
      <c r="A1888" s="6"/>
      <c r="B1888" s="11" t="s">
        <v>43</v>
      </c>
      <c r="C1888" s="7" t="s">
        <v>41</v>
      </c>
      <c r="D1888" s="7"/>
      <c r="E1888" s="7"/>
      <c r="F1888" s="7">
        <f t="shared" si="343"/>
        <v>0</v>
      </c>
      <c r="G1888" s="8"/>
      <c r="H1888" s="7">
        <f t="shared" si="344"/>
        <v>0</v>
      </c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9">
        <f t="shared" si="334"/>
        <v>0</v>
      </c>
      <c r="T1888" s="10">
        <f t="shared" si="335"/>
        <v>0</v>
      </c>
      <c r="U1888" s="10"/>
    </row>
    <row r="1889" spans="1:21">
      <c r="A1889" s="6"/>
      <c r="B1889" s="11" t="s">
        <v>44</v>
      </c>
      <c r="C1889" s="7" t="s">
        <v>41</v>
      </c>
      <c r="D1889" s="7"/>
      <c r="E1889" s="7"/>
      <c r="F1889" s="7">
        <f t="shared" si="343"/>
        <v>75</v>
      </c>
      <c r="G1889" s="8"/>
      <c r="H1889" s="7">
        <f t="shared" si="344"/>
        <v>0</v>
      </c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9">
        <f t="shared" si="334"/>
        <v>75</v>
      </c>
      <c r="T1889" s="10">
        <f t="shared" si="335"/>
        <v>0</v>
      </c>
      <c r="U1889" s="10"/>
    </row>
    <row r="1890" spans="1:21">
      <c r="A1890" s="6"/>
      <c r="B1890" s="11" t="s">
        <v>45</v>
      </c>
      <c r="C1890" s="7" t="s">
        <v>41</v>
      </c>
      <c r="D1890" s="7"/>
      <c r="E1890" s="7"/>
      <c r="F1890" s="7">
        <f t="shared" si="343"/>
        <v>0</v>
      </c>
      <c r="G1890" s="8"/>
      <c r="H1890" s="7">
        <f t="shared" si="344"/>
        <v>0</v>
      </c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9">
        <f t="shared" si="334"/>
        <v>0</v>
      </c>
      <c r="T1890" s="10">
        <f t="shared" si="335"/>
        <v>0</v>
      </c>
      <c r="U1890" s="10"/>
    </row>
    <row r="1891" spans="1:21">
      <c r="A1891" s="6"/>
      <c r="B1891" s="11" t="s">
        <v>46</v>
      </c>
      <c r="C1891" s="7" t="s">
        <v>41</v>
      </c>
      <c r="D1891" s="7"/>
      <c r="E1891" s="7"/>
      <c r="F1891" s="7">
        <f t="shared" si="343"/>
        <v>17</v>
      </c>
      <c r="G1891" s="8"/>
      <c r="H1891" s="7">
        <f t="shared" si="344"/>
        <v>0</v>
      </c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9">
        <f t="shared" si="334"/>
        <v>17</v>
      </c>
      <c r="T1891" s="10">
        <f t="shared" si="335"/>
        <v>0</v>
      </c>
      <c r="U1891" s="10"/>
    </row>
    <row r="1892" spans="1:21">
      <c r="A1892" s="6"/>
      <c r="B1892" s="11" t="s">
        <v>47</v>
      </c>
      <c r="C1892" s="7" t="s">
        <v>26</v>
      </c>
      <c r="D1892" s="7"/>
      <c r="E1892" s="7"/>
      <c r="F1892" s="7">
        <f t="shared" si="343"/>
        <v>0</v>
      </c>
      <c r="G1892" s="8"/>
      <c r="H1892" s="7">
        <f t="shared" si="344"/>
        <v>0</v>
      </c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9">
        <f t="shared" si="334"/>
        <v>0</v>
      </c>
      <c r="T1892" s="10">
        <f t="shared" si="335"/>
        <v>0</v>
      </c>
      <c r="U1892" s="10"/>
    </row>
    <row r="1893" spans="1:21">
      <c r="A1893" s="6"/>
      <c r="B1893" s="11" t="s">
        <v>48</v>
      </c>
      <c r="C1893" s="7" t="s">
        <v>26</v>
      </c>
      <c r="D1893" s="7"/>
      <c r="E1893" s="7"/>
      <c r="F1893" s="7">
        <f t="shared" si="343"/>
        <v>5332</v>
      </c>
      <c r="G1893" s="8"/>
      <c r="H1893" s="7">
        <f t="shared" si="344"/>
        <v>0</v>
      </c>
      <c r="I1893" s="7"/>
      <c r="J1893" s="7">
        <v>4145</v>
      </c>
      <c r="K1893" s="7"/>
      <c r="L1893" s="7"/>
      <c r="M1893" s="7"/>
      <c r="N1893" s="7"/>
      <c r="O1893" s="7"/>
      <c r="P1893" s="7"/>
      <c r="Q1893" s="7"/>
      <c r="R1893" s="7"/>
      <c r="S1893" s="9">
        <f t="shared" si="334"/>
        <v>1187</v>
      </c>
      <c r="T1893" s="10">
        <f t="shared" si="335"/>
        <v>0</v>
      </c>
      <c r="U1893" s="10" t="s">
        <v>126</v>
      </c>
    </row>
    <row r="1894" spans="1:21">
      <c r="A1894" s="6"/>
      <c r="B1894" s="11" t="s">
        <v>50</v>
      </c>
      <c r="C1894" s="7" t="s">
        <v>26</v>
      </c>
      <c r="D1894" s="7"/>
      <c r="E1894" s="7"/>
      <c r="F1894" s="7">
        <f t="shared" si="343"/>
        <v>0</v>
      </c>
      <c r="G1894" s="8"/>
      <c r="H1894" s="7">
        <f t="shared" si="344"/>
        <v>0</v>
      </c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9">
        <f t="shared" si="334"/>
        <v>0</v>
      </c>
      <c r="T1894" s="10">
        <f t="shared" si="335"/>
        <v>0</v>
      </c>
      <c r="U1894" s="10"/>
    </row>
    <row r="1895" spans="1:21">
      <c r="A1895" s="6"/>
      <c r="B1895" s="11" t="s">
        <v>51</v>
      </c>
      <c r="C1895" s="7" t="s">
        <v>26</v>
      </c>
      <c r="D1895" s="7"/>
      <c r="E1895" s="7"/>
      <c r="F1895" s="7">
        <f t="shared" si="343"/>
        <v>0</v>
      </c>
      <c r="G1895" s="8"/>
      <c r="H1895" s="7">
        <f t="shared" si="344"/>
        <v>0</v>
      </c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9">
        <f t="shared" ref="S1895:S1958" si="345">F1895+G1895-J1895-K1895-L1895+M1895+O1895-P1895-R1895</f>
        <v>0</v>
      </c>
      <c r="T1895" s="10">
        <f t="shared" ref="T1895:T1958" si="346">H1895+I1895+N1895+R1895-Q1895</f>
        <v>0</v>
      </c>
      <c r="U1895" s="10"/>
    </row>
    <row r="1896" spans="1:21">
      <c r="A1896" s="6"/>
      <c r="B1896" s="11" t="s">
        <v>52</v>
      </c>
      <c r="C1896" s="7" t="s">
        <v>26</v>
      </c>
      <c r="D1896" s="7"/>
      <c r="E1896" s="7"/>
      <c r="F1896" s="7">
        <f t="shared" si="343"/>
        <v>76</v>
      </c>
      <c r="G1896" s="8"/>
      <c r="H1896" s="7">
        <f t="shared" si="344"/>
        <v>0</v>
      </c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9">
        <f t="shared" si="345"/>
        <v>76</v>
      </c>
      <c r="T1896" s="10">
        <f t="shared" si="346"/>
        <v>0</v>
      </c>
      <c r="U1896" s="10"/>
    </row>
    <row r="1897" spans="1:21">
      <c r="A1897" s="6"/>
      <c r="B1897" s="11" t="s">
        <v>53</v>
      </c>
      <c r="C1897" s="7" t="s">
        <v>54</v>
      </c>
      <c r="D1897" s="7"/>
      <c r="E1897" s="7"/>
      <c r="F1897" s="7">
        <f t="shared" si="343"/>
        <v>0</v>
      </c>
      <c r="G1897" s="8"/>
      <c r="H1897" s="7">
        <f t="shared" si="344"/>
        <v>0</v>
      </c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9">
        <f t="shared" si="345"/>
        <v>0</v>
      </c>
      <c r="T1897" s="10">
        <f t="shared" si="346"/>
        <v>0</v>
      </c>
      <c r="U1897" s="10"/>
    </row>
    <row r="1898" spans="1:21">
      <c r="A1898" s="6"/>
      <c r="B1898" s="11" t="s">
        <v>55</v>
      </c>
      <c r="C1898" s="7" t="s">
        <v>54</v>
      </c>
      <c r="D1898" s="7"/>
      <c r="E1898" s="7"/>
      <c r="F1898" s="7">
        <f t="shared" si="343"/>
        <v>15</v>
      </c>
      <c r="G1898" s="8"/>
      <c r="H1898" s="7">
        <f t="shared" si="344"/>
        <v>0</v>
      </c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9">
        <f t="shared" si="345"/>
        <v>15</v>
      </c>
      <c r="T1898" s="10">
        <f t="shared" si="346"/>
        <v>0</v>
      </c>
      <c r="U1898" s="10"/>
    </row>
    <row r="1899" spans="1:21">
      <c r="A1899" s="6"/>
      <c r="B1899" s="11" t="s">
        <v>56</v>
      </c>
      <c r="C1899" s="7" t="s">
        <v>54</v>
      </c>
      <c r="D1899" s="7"/>
      <c r="E1899" s="7"/>
      <c r="F1899" s="7">
        <f t="shared" si="343"/>
        <v>863</v>
      </c>
      <c r="G1899" s="8"/>
      <c r="H1899" s="7">
        <f t="shared" si="344"/>
        <v>0</v>
      </c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9">
        <f t="shared" si="345"/>
        <v>863</v>
      </c>
      <c r="T1899" s="10">
        <f t="shared" si="346"/>
        <v>0</v>
      </c>
      <c r="U1899" s="10"/>
    </row>
    <row r="1900" spans="1:21">
      <c r="A1900" s="6"/>
      <c r="B1900" s="11" t="s">
        <v>57</v>
      </c>
      <c r="C1900" s="7" t="s">
        <v>54</v>
      </c>
      <c r="D1900" s="7"/>
      <c r="E1900" s="7"/>
      <c r="F1900" s="7">
        <f t="shared" si="343"/>
        <v>160</v>
      </c>
      <c r="G1900" s="8"/>
      <c r="H1900" s="7">
        <f t="shared" si="344"/>
        <v>0</v>
      </c>
      <c r="I1900" s="7"/>
      <c r="J1900" s="7"/>
      <c r="K1900" s="7"/>
      <c r="L1900" s="7"/>
      <c r="M1900" s="7">
        <v>12</v>
      </c>
      <c r="N1900" s="7"/>
      <c r="O1900" s="7"/>
      <c r="P1900" s="7"/>
      <c r="Q1900" s="7"/>
      <c r="R1900" s="7"/>
      <c r="S1900" s="9">
        <f t="shared" si="345"/>
        <v>172</v>
      </c>
      <c r="T1900" s="10">
        <f t="shared" si="346"/>
        <v>0</v>
      </c>
      <c r="U1900" s="10"/>
    </row>
    <row r="1901" spans="1:21">
      <c r="A1901" s="6"/>
      <c r="B1901" s="11" t="s">
        <v>58</v>
      </c>
      <c r="C1901" s="7" t="s">
        <v>54</v>
      </c>
      <c r="D1901" s="7"/>
      <c r="E1901" s="7"/>
      <c r="F1901" s="7">
        <f t="shared" si="343"/>
        <v>0</v>
      </c>
      <c r="G1901" s="8"/>
      <c r="H1901" s="7">
        <f t="shared" si="344"/>
        <v>0</v>
      </c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9">
        <f t="shared" si="345"/>
        <v>0</v>
      </c>
      <c r="T1901" s="10">
        <f t="shared" si="346"/>
        <v>0</v>
      </c>
      <c r="U1901" s="10"/>
    </row>
    <row r="1902" spans="1:21">
      <c r="A1902" s="6"/>
      <c r="B1902" s="11" t="s">
        <v>59</v>
      </c>
      <c r="C1902" s="7" t="s">
        <v>54</v>
      </c>
      <c r="D1902" s="7"/>
      <c r="E1902" s="7"/>
      <c r="F1902" s="7">
        <f t="shared" si="343"/>
        <v>19</v>
      </c>
      <c r="G1902" s="8"/>
      <c r="H1902" s="7">
        <f t="shared" si="344"/>
        <v>0</v>
      </c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9">
        <f t="shared" si="345"/>
        <v>19</v>
      </c>
      <c r="T1902" s="10">
        <f t="shared" si="346"/>
        <v>0</v>
      </c>
      <c r="U1902" s="10"/>
    </row>
    <row r="1903" spans="1:21">
      <c r="A1903" s="6"/>
      <c r="B1903" s="11" t="s">
        <v>60</v>
      </c>
      <c r="C1903" s="7" t="s">
        <v>61</v>
      </c>
      <c r="D1903" s="7"/>
      <c r="E1903" s="7"/>
      <c r="F1903" s="7">
        <f t="shared" si="343"/>
        <v>0</v>
      </c>
      <c r="G1903" s="8"/>
      <c r="H1903" s="7">
        <f t="shared" si="344"/>
        <v>0</v>
      </c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9">
        <f t="shared" si="345"/>
        <v>0</v>
      </c>
      <c r="T1903" s="10">
        <f t="shared" si="346"/>
        <v>0</v>
      </c>
      <c r="U1903" s="10"/>
    </row>
    <row r="1904" spans="1:21">
      <c r="A1904" s="6"/>
      <c r="B1904" s="11" t="s">
        <v>62</v>
      </c>
      <c r="C1904" s="7" t="s">
        <v>61</v>
      </c>
      <c r="D1904" s="7"/>
      <c r="E1904" s="7"/>
      <c r="F1904" s="7">
        <f t="shared" si="343"/>
        <v>11</v>
      </c>
      <c r="G1904" s="8"/>
      <c r="H1904" s="7">
        <f t="shared" si="344"/>
        <v>0</v>
      </c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9">
        <f t="shared" si="345"/>
        <v>11</v>
      </c>
      <c r="T1904" s="10">
        <f t="shared" si="346"/>
        <v>0</v>
      </c>
      <c r="U1904" s="10"/>
    </row>
    <row r="1905" spans="1:21">
      <c r="A1905" s="6"/>
      <c r="B1905" s="10" t="s">
        <v>63</v>
      </c>
      <c r="C1905" s="10" t="s">
        <v>41</v>
      </c>
      <c r="D1905" s="7"/>
      <c r="E1905" s="7"/>
      <c r="F1905" s="7">
        <f t="shared" si="343"/>
        <v>0</v>
      </c>
      <c r="G1905" s="8"/>
      <c r="H1905" s="7">
        <f t="shared" si="344"/>
        <v>0</v>
      </c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9">
        <f t="shared" si="345"/>
        <v>0</v>
      </c>
      <c r="T1905" s="10">
        <f t="shared" si="346"/>
        <v>0</v>
      </c>
      <c r="U1905" s="10"/>
    </row>
    <row r="1906" spans="1:21">
      <c r="A1906" s="6"/>
      <c r="B1906" s="10" t="s">
        <v>64</v>
      </c>
      <c r="C1906" s="10" t="s">
        <v>41</v>
      </c>
      <c r="D1906" s="7"/>
      <c r="E1906" s="7"/>
      <c r="F1906" s="7">
        <f t="shared" si="343"/>
        <v>5</v>
      </c>
      <c r="G1906" s="8"/>
      <c r="H1906" s="7">
        <f t="shared" si="344"/>
        <v>0</v>
      </c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9">
        <f t="shared" si="345"/>
        <v>5</v>
      </c>
      <c r="T1906" s="10">
        <f t="shared" si="346"/>
        <v>0</v>
      </c>
      <c r="U1906" s="10"/>
    </row>
    <row r="1907" spans="1:21">
      <c r="A1907" s="6"/>
      <c r="B1907" s="11" t="s">
        <v>65</v>
      </c>
      <c r="C1907" s="7" t="s">
        <v>26</v>
      </c>
      <c r="D1907" s="7"/>
      <c r="E1907" s="7"/>
      <c r="F1907" s="7">
        <f t="shared" si="343"/>
        <v>0</v>
      </c>
      <c r="G1907" s="8"/>
      <c r="H1907" s="7">
        <f t="shared" si="344"/>
        <v>0</v>
      </c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9">
        <f t="shared" si="345"/>
        <v>0</v>
      </c>
      <c r="T1907" s="10">
        <f t="shared" si="346"/>
        <v>0</v>
      </c>
      <c r="U1907" s="10"/>
    </row>
    <row r="1908" spans="1:21">
      <c r="A1908" s="6"/>
      <c r="B1908" s="11" t="s">
        <v>66</v>
      </c>
      <c r="C1908" s="7" t="s">
        <v>26</v>
      </c>
      <c r="D1908" s="7"/>
      <c r="E1908" s="7"/>
      <c r="F1908" s="7">
        <f t="shared" si="343"/>
        <v>71</v>
      </c>
      <c r="G1908" s="8"/>
      <c r="H1908" s="7">
        <f t="shared" si="344"/>
        <v>0</v>
      </c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9">
        <f t="shared" si="345"/>
        <v>71</v>
      </c>
      <c r="T1908" s="10">
        <f t="shared" si="346"/>
        <v>0</v>
      </c>
      <c r="U1908" s="10"/>
    </row>
    <row r="1909" spans="1:21">
      <c r="A1909" s="6"/>
      <c r="B1909" s="11" t="s">
        <v>67</v>
      </c>
      <c r="C1909" s="7" t="s">
        <v>26</v>
      </c>
      <c r="D1909" s="7"/>
      <c r="E1909" s="7"/>
      <c r="F1909" s="7">
        <f t="shared" si="343"/>
        <v>0</v>
      </c>
      <c r="G1909" s="8"/>
      <c r="H1909" s="7">
        <f t="shared" si="344"/>
        <v>0</v>
      </c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9">
        <f t="shared" si="345"/>
        <v>0</v>
      </c>
      <c r="T1909" s="10">
        <f t="shared" si="346"/>
        <v>0</v>
      </c>
      <c r="U1909" s="10"/>
    </row>
    <row r="1910" spans="1:21">
      <c r="A1910" s="6"/>
      <c r="B1910" s="11" t="s">
        <v>68</v>
      </c>
      <c r="C1910" s="7" t="s">
        <v>26</v>
      </c>
      <c r="D1910" s="7"/>
      <c r="E1910" s="7"/>
      <c r="F1910" s="7">
        <f t="shared" si="343"/>
        <v>7</v>
      </c>
      <c r="G1910" s="8"/>
      <c r="H1910" s="7">
        <f t="shared" si="344"/>
        <v>0</v>
      </c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9">
        <f t="shared" si="345"/>
        <v>7</v>
      </c>
      <c r="T1910" s="10">
        <f t="shared" si="346"/>
        <v>0</v>
      </c>
      <c r="U1910" s="10"/>
    </row>
    <row r="1911" spans="1:21">
      <c r="A1911" s="6"/>
      <c r="B1911" s="11" t="s">
        <v>69</v>
      </c>
      <c r="C1911" s="7" t="s">
        <v>41</v>
      </c>
      <c r="D1911" s="7"/>
      <c r="E1911" s="7"/>
      <c r="F1911" s="7">
        <f t="shared" si="343"/>
        <v>0</v>
      </c>
      <c r="G1911" s="8"/>
      <c r="H1911" s="7">
        <f t="shared" si="344"/>
        <v>0</v>
      </c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9">
        <f t="shared" si="345"/>
        <v>0</v>
      </c>
      <c r="T1911" s="10">
        <f t="shared" si="346"/>
        <v>0</v>
      </c>
      <c r="U1911" s="10"/>
    </row>
    <row r="1912" spans="1:21">
      <c r="A1912" s="6"/>
      <c r="B1912" s="11" t="s">
        <v>70</v>
      </c>
      <c r="C1912" s="7" t="s">
        <v>41</v>
      </c>
      <c r="D1912" s="7"/>
      <c r="E1912" s="7"/>
      <c r="F1912" s="7">
        <f t="shared" si="343"/>
        <v>13</v>
      </c>
      <c r="G1912" s="8"/>
      <c r="H1912" s="7">
        <f t="shared" si="344"/>
        <v>0</v>
      </c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9">
        <f t="shared" si="345"/>
        <v>13</v>
      </c>
      <c r="T1912" s="10">
        <f t="shared" si="346"/>
        <v>0</v>
      </c>
      <c r="U1912" s="10"/>
    </row>
    <row r="1913" spans="1:21">
      <c r="A1913" s="6"/>
      <c r="B1913" s="11" t="s">
        <v>71</v>
      </c>
      <c r="C1913" s="7" t="s">
        <v>61</v>
      </c>
      <c r="D1913" s="7"/>
      <c r="E1913" s="7"/>
      <c r="F1913" s="7">
        <f t="shared" si="343"/>
        <v>0</v>
      </c>
      <c r="G1913" s="8"/>
      <c r="H1913" s="7">
        <f t="shared" si="344"/>
        <v>0</v>
      </c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9">
        <f t="shared" si="345"/>
        <v>0</v>
      </c>
      <c r="T1913" s="10">
        <f t="shared" si="346"/>
        <v>0</v>
      </c>
      <c r="U1913" s="10"/>
    </row>
    <row r="1914" spans="1:21">
      <c r="A1914" s="6"/>
      <c r="B1914" s="11" t="s">
        <v>72</v>
      </c>
      <c r="C1914" s="7" t="s">
        <v>61</v>
      </c>
      <c r="D1914" s="7"/>
      <c r="E1914" s="7"/>
      <c r="F1914" s="7">
        <f t="shared" si="343"/>
        <v>8</v>
      </c>
      <c r="G1914" s="8"/>
      <c r="H1914" s="7">
        <f t="shared" si="344"/>
        <v>0</v>
      </c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9">
        <f t="shared" si="345"/>
        <v>8</v>
      </c>
      <c r="T1914" s="10">
        <f t="shared" si="346"/>
        <v>0</v>
      </c>
      <c r="U1914" s="10"/>
    </row>
    <row r="1915" spans="1:21">
      <c r="A1915" s="6"/>
      <c r="B1915" s="11" t="s">
        <v>73</v>
      </c>
      <c r="C1915" s="7" t="s">
        <v>26</v>
      </c>
      <c r="D1915" s="7"/>
      <c r="E1915" s="7"/>
      <c r="F1915" s="7">
        <f t="shared" si="343"/>
        <v>0</v>
      </c>
      <c r="G1915" s="8"/>
      <c r="H1915" s="7">
        <f t="shared" si="344"/>
        <v>0</v>
      </c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9">
        <f t="shared" si="345"/>
        <v>0</v>
      </c>
      <c r="T1915" s="10">
        <f t="shared" si="346"/>
        <v>0</v>
      </c>
      <c r="U1915" s="10"/>
    </row>
    <row r="1916" spans="1:21">
      <c r="A1916" s="6"/>
      <c r="B1916" s="11" t="s">
        <v>74</v>
      </c>
      <c r="C1916" s="7" t="s">
        <v>26</v>
      </c>
      <c r="D1916" s="7"/>
      <c r="E1916" s="7"/>
      <c r="F1916" s="7">
        <f t="shared" si="343"/>
        <v>22</v>
      </c>
      <c r="G1916" s="8"/>
      <c r="H1916" s="7">
        <f t="shared" si="344"/>
        <v>0</v>
      </c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9">
        <f t="shared" si="345"/>
        <v>22</v>
      </c>
      <c r="T1916" s="10">
        <f t="shared" si="346"/>
        <v>0</v>
      </c>
      <c r="U1916" s="10"/>
    </row>
    <row r="1917" spans="1:21">
      <c r="A1917" s="6"/>
      <c r="B1917" s="11" t="s">
        <v>75</v>
      </c>
      <c r="C1917" s="7" t="s">
        <v>26</v>
      </c>
      <c r="D1917" s="7"/>
      <c r="E1917" s="7"/>
      <c r="F1917" s="7">
        <f t="shared" si="343"/>
        <v>0</v>
      </c>
      <c r="G1917" s="8"/>
      <c r="H1917" s="7">
        <f t="shared" si="344"/>
        <v>0</v>
      </c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9">
        <f t="shared" si="345"/>
        <v>0</v>
      </c>
      <c r="T1917" s="10">
        <f t="shared" si="346"/>
        <v>0</v>
      </c>
      <c r="U1917" s="10"/>
    </row>
    <row r="1918" spans="1:21">
      <c r="A1918" s="6"/>
      <c r="B1918" s="11" t="s">
        <v>76</v>
      </c>
      <c r="C1918" s="7" t="s">
        <v>26</v>
      </c>
      <c r="D1918" s="7"/>
      <c r="E1918" s="7"/>
      <c r="F1918" s="7">
        <f t="shared" si="343"/>
        <v>20</v>
      </c>
      <c r="G1918" s="8"/>
      <c r="H1918" s="7">
        <f t="shared" si="344"/>
        <v>0</v>
      </c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9">
        <f t="shared" si="345"/>
        <v>20</v>
      </c>
      <c r="T1918" s="10">
        <f t="shared" si="346"/>
        <v>0</v>
      </c>
      <c r="U1918" s="10"/>
    </row>
    <row r="1919" spans="1:21">
      <c r="A1919" s="6"/>
      <c r="B1919" s="11" t="s">
        <v>77</v>
      </c>
      <c r="C1919" s="7" t="s">
        <v>61</v>
      </c>
      <c r="D1919" s="7"/>
      <c r="E1919" s="7"/>
      <c r="F1919" s="7">
        <f t="shared" ref="F1919:F1978" si="347">S1834</f>
        <v>0</v>
      </c>
      <c r="G1919" s="8"/>
      <c r="H1919" s="7">
        <f t="shared" si="344"/>
        <v>0</v>
      </c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9">
        <f t="shared" si="345"/>
        <v>0</v>
      </c>
      <c r="T1919" s="10">
        <f t="shared" si="346"/>
        <v>0</v>
      </c>
      <c r="U1919" s="10"/>
    </row>
    <row r="1920" spans="1:21">
      <c r="A1920" s="6"/>
      <c r="B1920" s="11" t="s">
        <v>78</v>
      </c>
      <c r="C1920" s="7" t="s">
        <v>61</v>
      </c>
      <c r="D1920" s="7"/>
      <c r="E1920" s="7"/>
      <c r="F1920" s="7">
        <f t="shared" si="347"/>
        <v>69</v>
      </c>
      <c r="G1920" s="8"/>
      <c r="H1920" s="7">
        <f t="shared" ref="H1920:H1979" si="348">T1835</f>
        <v>0</v>
      </c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9">
        <f t="shared" si="345"/>
        <v>69</v>
      </c>
      <c r="T1920" s="10">
        <f t="shared" si="346"/>
        <v>0</v>
      </c>
      <c r="U1920" s="10"/>
    </row>
    <row r="1921" spans="1:21">
      <c r="A1921" s="6"/>
      <c r="B1921" s="11" t="s">
        <v>105</v>
      </c>
      <c r="C1921" s="7" t="s">
        <v>26</v>
      </c>
      <c r="D1921" s="7"/>
      <c r="E1921" s="7"/>
      <c r="F1921" s="7">
        <f t="shared" si="347"/>
        <v>1533</v>
      </c>
      <c r="G1921" s="8"/>
      <c r="H1921" s="7">
        <f t="shared" si="348"/>
        <v>0</v>
      </c>
      <c r="I1921" s="7"/>
      <c r="J1921" s="7">
        <v>120</v>
      </c>
      <c r="K1921" s="7"/>
      <c r="L1921" s="7"/>
      <c r="M1921" s="7"/>
      <c r="N1921" s="7"/>
      <c r="O1921" s="7"/>
      <c r="P1921" s="7"/>
      <c r="Q1921" s="7"/>
      <c r="R1921" s="7"/>
      <c r="S1921" s="9">
        <f t="shared" si="345"/>
        <v>1413</v>
      </c>
      <c r="T1921" s="10">
        <f t="shared" si="346"/>
        <v>0</v>
      </c>
      <c r="U1921" s="10"/>
    </row>
    <row r="1922" spans="1:21">
      <c r="A1922" s="6"/>
      <c r="B1922" s="11" t="s">
        <v>80</v>
      </c>
      <c r="C1922" s="7" t="s">
        <v>26</v>
      </c>
      <c r="D1922" s="7"/>
      <c r="E1922" s="7"/>
      <c r="F1922" s="7">
        <f t="shared" si="347"/>
        <v>441</v>
      </c>
      <c r="G1922" s="8"/>
      <c r="H1922" s="7">
        <f t="shared" si="348"/>
        <v>0</v>
      </c>
      <c r="I1922" s="7"/>
      <c r="J1922" s="7"/>
      <c r="K1922" s="7"/>
      <c r="L1922" s="7"/>
      <c r="M1922" s="7">
        <v>21</v>
      </c>
      <c r="N1922" s="7"/>
      <c r="O1922" s="7"/>
      <c r="P1922" s="7"/>
      <c r="Q1922" s="7"/>
      <c r="R1922" s="7"/>
      <c r="S1922" s="9">
        <f t="shared" si="345"/>
        <v>462</v>
      </c>
      <c r="T1922" s="10">
        <f t="shared" si="346"/>
        <v>0</v>
      </c>
      <c r="U1922" s="10"/>
    </row>
    <row r="1923" spans="1:21">
      <c r="A1923" s="6"/>
      <c r="B1923" s="11" t="s">
        <v>81</v>
      </c>
      <c r="C1923" s="7" t="s">
        <v>26</v>
      </c>
      <c r="D1923" s="7"/>
      <c r="E1923" s="7"/>
      <c r="F1923" s="7">
        <f t="shared" si="347"/>
        <v>0</v>
      </c>
      <c r="G1923" s="8"/>
      <c r="H1923" s="7">
        <f t="shared" si="348"/>
        <v>0</v>
      </c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9">
        <f t="shared" si="345"/>
        <v>0</v>
      </c>
      <c r="T1923" s="10">
        <f t="shared" si="346"/>
        <v>0</v>
      </c>
      <c r="U1923" s="10"/>
    </row>
    <row r="1924" spans="1:21">
      <c r="A1924" s="6"/>
      <c r="B1924" s="11" t="s">
        <v>82</v>
      </c>
      <c r="C1924" s="7" t="s">
        <v>26</v>
      </c>
      <c r="D1924" s="7"/>
      <c r="E1924" s="7"/>
      <c r="F1924" s="7">
        <f t="shared" si="347"/>
        <v>14</v>
      </c>
      <c r="G1924" s="8"/>
      <c r="H1924" s="7">
        <f t="shared" si="348"/>
        <v>0</v>
      </c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9">
        <f t="shared" si="345"/>
        <v>14</v>
      </c>
      <c r="T1924" s="10">
        <f t="shared" si="346"/>
        <v>0</v>
      </c>
      <c r="U1924" s="10"/>
    </row>
    <row r="1925" spans="1:21">
      <c r="A1925" s="6"/>
      <c r="B1925" s="11" t="s">
        <v>83</v>
      </c>
      <c r="C1925" s="7" t="s">
        <v>26</v>
      </c>
      <c r="D1925" s="7"/>
      <c r="E1925" s="7"/>
      <c r="F1925" s="7">
        <f t="shared" si="347"/>
        <v>0</v>
      </c>
      <c r="G1925" s="8"/>
      <c r="H1925" s="7">
        <f t="shared" si="348"/>
        <v>0</v>
      </c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9">
        <f t="shared" si="345"/>
        <v>0</v>
      </c>
      <c r="T1925" s="10">
        <f t="shared" si="346"/>
        <v>0</v>
      </c>
      <c r="U1925" s="10"/>
    </row>
    <row r="1926" spans="1:21">
      <c r="A1926" s="6"/>
      <c r="B1926" s="11" t="s">
        <v>84</v>
      </c>
      <c r="C1926" s="7" t="s">
        <v>26</v>
      </c>
      <c r="D1926" s="7"/>
      <c r="E1926" s="7"/>
      <c r="F1926" s="7">
        <f t="shared" si="347"/>
        <v>28</v>
      </c>
      <c r="G1926" s="8"/>
      <c r="H1926" s="7">
        <f t="shared" si="348"/>
        <v>0</v>
      </c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9">
        <f t="shared" si="345"/>
        <v>28</v>
      </c>
      <c r="T1926" s="10">
        <f t="shared" si="346"/>
        <v>0</v>
      </c>
      <c r="U1926" s="10"/>
    </row>
    <row r="1927" spans="1:21">
      <c r="A1927" s="6"/>
      <c r="B1927" s="11" t="s">
        <v>85</v>
      </c>
      <c r="C1927" s="7" t="s">
        <v>61</v>
      </c>
      <c r="D1927" s="7"/>
      <c r="E1927" s="7"/>
      <c r="F1927" s="7">
        <f t="shared" si="347"/>
        <v>0</v>
      </c>
      <c r="G1927" s="8"/>
      <c r="H1927" s="7">
        <f t="shared" si="348"/>
        <v>0</v>
      </c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9">
        <f t="shared" si="345"/>
        <v>0</v>
      </c>
      <c r="T1927" s="10">
        <f t="shared" si="346"/>
        <v>0</v>
      </c>
      <c r="U1927" s="10"/>
    </row>
    <row r="1928" spans="1:21">
      <c r="A1928" s="6"/>
      <c r="B1928" s="11" t="s">
        <v>86</v>
      </c>
      <c r="C1928" s="7" t="s">
        <v>61</v>
      </c>
      <c r="D1928" s="7"/>
      <c r="E1928" s="7"/>
      <c r="F1928" s="7">
        <f t="shared" si="347"/>
        <v>10</v>
      </c>
      <c r="G1928" s="8"/>
      <c r="H1928" s="7">
        <f t="shared" si="348"/>
        <v>0</v>
      </c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9">
        <f t="shared" si="345"/>
        <v>10</v>
      </c>
      <c r="T1928" s="10">
        <f t="shared" si="346"/>
        <v>0</v>
      </c>
      <c r="U1928" s="10"/>
    </row>
    <row r="1929" spans="1:21">
      <c r="A1929" s="6"/>
      <c r="B1929" s="11" t="s">
        <v>87</v>
      </c>
      <c r="C1929" s="7" t="s">
        <v>26</v>
      </c>
      <c r="D1929" s="7"/>
      <c r="E1929" s="7"/>
      <c r="F1929" s="7">
        <f t="shared" si="347"/>
        <v>0</v>
      </c>
      <c r="G1929" s="8"/>
      <c r="H1929" s="7">
        <f t="shared" si="348"/>
        <v>0</v>
      </c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9">
        <f t="shared" si="345"/>
        <v>0</v>
      </c>
      <c r="T1929" s="10">
        <f t="shared" si="346"/>
        <v>0</v>
      </c>
      <c r="U1929" s="10"/>
    </row>
    <row r="1930" spans="1:21">
      <c r="A1930" s="6"/>
      <c r="B1930" s="11" t="s">
        <v>88</v>
      </c>
      <c r="C1930" s="10"/>
      <c r="D1930" s="7"/>
      <c r="E1930" s="7"/>
      <c r="F1930" s="7">
        <f t="shared" si="347"/>
        <v>7</v>
      </c>
      <c r="G1930" s="8"/>
      <c r="H1930" s="7">
        <f t="shared" si="348"/>
        <v>0</v>
      </c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9">
        <f t="shared" si="345"/>
        <v>7</v>
      </c>
      <c r="T1930" s="10">
        <f t="shared" si="346"/>
        <v>0</v>
      </c>
      <c r="U1930" s="10"/>
    </row>
    <row r="1931" spans="1:21">
      <c r="A1931" s="6"/>
      <c r="B1931" s="11" t="s">
        <v>89</v>
      </c>
      <c r="C1931" s="7" t="s">
        <v>26</v>
      </c>
      <c r="D1931" s="7"/>
      <c r="E1931" s="7"/>
      <c r="F1931" s="7">
        <f t="shared" si="347"/>
        <v>858</v>
      </c>
      <c r="G1931" s="8"/>
      <c r="H1931" s="7">
        <f t="shared" si="348"/>
        <v>0</v>
      </c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9">
        <f t="shared" si="345"/>
        <v>858</v>
      </c>
      <c r="T1931" s="10">
        <f t="shared" si="346"/>
        <v>0</v>
      </c>
      <c r="U1931" s="10"/>
    </row>
    <row r="1932" spans="1:21">
      <c r="A1932" s="6"/>
      <c r="B1932" s="11" t="s">
        <v>90</v>
      </c>
      <c r="C1932" s="7" t="s">
        <v>26</v>
      </c>
      <c r="D1932" s="7"/>
      <c r="E1932" s="7"/>
      <c r="F1932" s="7">
        <f t="shared" si="347"/>
        <v>0</v>
      </c>
      <c r="G1932" s="8"/>
      <c r="H1932" s="7">
        <f t="shared" si="348"/>
        <v>0</v>
      </c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9">
        <f t="shared" si="345"/>
        <v>0</v>
      </c>
      <c r="T1932" s="10">
        <f t="shared" si="346"/>
        <v>0</v>
      </c>
      <c r="U1932" s="10"/>
    </row>
    <row r="1933" spans="1:21">
      <c r="A1933" s="6"/>
      <c r="B1933" s="11" t="s">
        <v>91</v>
      </c>
      <c r="C1933" s="7" t="s">
        <v>26</v>
      </c>
      <c r="D1933" s="7"/>
      <c r="E1933" s="7"/>
      <c r="F1933" s="7">
        <f t="shared" si="347"/>
        <v>138</v>
      </c>
      <c r="G1933" s="8"/>
      <c r="H1933" s="7">
        <f t="shared" si="348"/>
        <v>0</v>
      </c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9">
        <f t="shared" si="345"/>
        <v>138</v>
      </c>
      <c r="T1933" s="10">
        <f t="shared" si="346"/>
        <v>0</v>
      </c>
      <c r="U1933" s="10"/>
    </row>
    <row r="1934" spans="1:21">
      <c r="A1934" s="6"/>
      <c r="B1934" s="12" t="s">
        <v>92</v>
      </c>
      <c r="C1934" s="13" t="s">
        <v>26</v>
      </c>
      <c r="D1934" s="7"/>
      <c r="E1934" s="7"/>
      <c r="F1934" s="7">
        <f t="shared" si="347"/>
        <v>674</v>
      </c>
      <c r="G1934" s="8"/>
      <c r="H1934" s="7">
        <f t="shared" si="348"/>
        <v>0</v>
      </c>
      <c r="I1934" s="7"/>
      <c r="J1934" s="7">
        <v>300</v>
      </c>
      <c r="K1934" s="7"/>
      <c r="L1934" s="7"/>
      <c r="M1934" s="7"/>
      <c r="N1934" s="7"/>
      <c r="O1934" s="7"/>
      <c r="P1934" s="7"/>
      <c r="Q1934" s="7"/>
      <c r="R1934" s="7"/>
      <c r="S1934" s="9">
        <f t="shared" si="345"/>
        <v>374</v>
      </c>
      <c r="T1934" s="10">
        <f t="shared" si="346"/>
        <v>0</v>
      </c>
      <c r="U1934" s="10"/>
    </row>
    <row r="1935" spans="1:21">
      <c r="A1935" s="6"/>
      <c r="B1935" s="12" t="s">
        <v>93</v>
      </c>
      <c r="C1935" s="13" t="s">
        <v>26</v>
      </c>
      <c r="D1935" s="7"/>
      <c r="E1935" s="7"/>
      <c r="F1935" s="7">
        <f t="shared" si="347"/>
        <v>4018</v>
      </c>
      <c r="G1935" s="8"/>
      <c r="H1935" s="7">
        <f t="shared" si="348"/>
        <v>0</v>
      </c>
      <c r="I1935" s="7"/>
      <c r="J1935" s="7"/>
      <c r="K1935" s="7"/>
      <c r="L1935" s="7"/>
      <c r="M1935" s="7">
        <v>189</v>
      </c>
      <c r="N1935" s="7"/>
      <c r="O1935" s="7"/>
      <c r="P1935" s="7"/>
      <c r="Q1935" s="7"/>
      <c r="R1935" s="7"/>
      <c r="S1935" s="9">
        <f t="shared" si="345"/>
        <v>4207</v>
      </c>
      <c r="T1935" s="10">
        <f t="shared" si="346"/>
        <v>0</v>
      </c>
      <c r="U1935" s="10"/>
    </row>
    <row r="1936" spans="1:21">
      <c r="A1936" s="6"/>
      <c r="B1936" s="11" t="s">
        <v>94</v>
      </c>
      <c r="C1936" s="7" t="s">
        <v>41</v>
      </c>
      <c r="D1936" s="7"/>
      <c r="E1936" s="7"/>
      <c r="F1936" s="7">
        <f t="shared" si="347"/>
        <v>0</v>
      </c>
      <c r="G1936" s="8"/>
      <c r="H1936" s="7">
        <f t="shared" si="348"/>
        <v>0</v>
      </c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9">
        <f t="shared" si="345"/>
        <v>0</v>
      </c>
      <c r="T1936" s="10">
        <f t="shared" si="346"/>
        <v>0</v>
      </c>
      <c r="U1936" s="10"/>
    </row>
    <row r="1937" spans="1:21">
      <c r="A1937" s="6"/>
      <c r="B1937" s="11" t="s">
        <v>95</v>
      </c>
      <c r="C1937" s="7" t="s">
        <v>41</v>
      </c>
      <c r="D1937" s="7"/>
      <c r="E1937" s="7"/>
      <c r="F1937" s="7">
        <f t="shared" si="347"/>
        <v>39</v>
      </c>
      <c r="G1937" s="8"/>
      <c r="H1937" s="7">
        <f t="shared" si="348"/>
        <v>0</v>
      </c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9">
        <f t="shared" si="345"/>
        <v>39</v>
      </c>
      <c r="T1937" s="10">
        <f t="shared" si="346"/>
        <v>0</v>
      </c>
      <c r="U1937" s="10"/>
    </row>
    <row r="1938" spans="1:21">
      <c r="A1938" s="6"/>
      <c r="B1938" s="11" t="s">
        <v>96</v>
      </c>
      <c r="C1938" s="7" t="s">
        <v>41</v>
      </c>
      <c r="D1938" s="7"/>
      <c r="E1938" s="7"/>
      <c r="F1938" s="7">
        <f t="shared" si="347"/>
        <v>0</v>
      </c>
      <c r="G1938" s="8"/>
      <c r="H1938" s="7">
        <f t="shared" si="348"/>
        <v>0</v>
      </c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9">
        <f t="shared" si="345"/>
        <v>0</v>
      </c>
      <c r="T1938" s="10">
        <f t="shared" si="346"/>
        <v>0</v>
      </c>
      <c r="U1938" s="10"/>
    </row>
    <row r="1939" spans="1:21">
      <c r="A1939" s="6"/>
      <c r="B1939" s="11" t="s">
        <v>97</v>
      </c>
      <c r="C1939" s="7" t="s">
        <v>41</v>
      </c>
      <c r="D1939" s="7"/>
      <c r="E1939" s="7"/>
      <c r="F1939" s="7">
        <f t="shared" si="347"/>
        <v>0</v>
      </c>
      <c r="G1939" s="8"/>
      <c r="H1939" s="7">
        <f t="shared" si="348"/>
        <v>0</v>
      </c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9">
        <f t="shared" si="345"/>
        <v>0</v>
      </c>
      <c r="T1939" s="10">
        <f t="shared" si="346"/>
        <v>0</v>
      </c>
      <c r="U1939" s="10"/>
    </row>
    <row r="1940" spans="1:21">
      <c r="A1940" s="6"/>
      <c r="B1940" s="11" t="s">
        <v>98</v>
      </c>
      <c r="C1940" s="7" t="s">
        <v>26</v>
      </c>
      <c r="D1940" s="7"/>
      <c r="E1940" s="7"/>
      <c r="F1940" s="7">
        <f t="shared" si="347"/>
        <v>861</v>
      </c>
      <c r="G1940" s="8"/>
      <c r="H1940" s="7">
        <f t="shared" si="348"/>
        <v>0</v>
      </c>
      <c r="I1940" s="7"/>
      <c r="J1940" s="7">
        <v>180</v>
      </c>
      <c r="K1940" s="7"/>
      <c r="L1940" s="7"/>
      <c r="M1940" s="7"/>
      <c r="N1940" s="7"/>
      <c r="O1940" s="7"/>
      <c r="P1940" s="7"/>
      <c r="Q1940" s="7"/>
      <c r="R1940" s="7"/>
      <c r="S1940" s="9">
        <f t="shared" si="345"/>
        <v>681</v>
      </c>
      <c r="T1940" s="10">
        <f t="shared" si="346"/>
        <v>0</v>
      </c>
      <c r="U1940" s="10"/>
    </row>
    <row r="1941" spans="1:21">
      <c r="A1941" s="6"/>
      <c r="B1941" s="11" t="s">
        <v>99</v>
      </c>
      <c r="C1941" s="7" t="s">
        <v>26</v>
      </c>
      <c r="D1941" s="7"/>
      <c r="E1941" s="7"/>
      <c r="F1941" s="7">
        <f t="shared" si="347"/>
        <v>1580</v>
      </c>
      <c r="G1941" s="8"/>
      <c r="H1941" s="7">
        <f t="shared" si="348"/>
        <v>0</v>
      </c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9">
        <f t="shared" si="345"/>
        <v>1580</v>
      </c>
      <c r="T1941" s="10">
        <f t="shared" si="346"/>
        <v>0</v>
      </c>
      <c r="U1941" s="10"/>
    </row>
    <row r="1942" spans="1:21">
      <c r="A1942" s="6"/>
      <c r="B1942" s="11" t="s">
        <v>100</v>
      </c>
      <c r="C1942" s="7" t="s">
        <v>26</v>
      </c>
      <c r="D1942" s="7"/>
      <c r="E1942" s="7"/>
      <c r="F1942" s="7">
        <f t="shared" si="347"/>
        <v>175</v>
      </c>
      <c r="G1942" s="8"/>
      <c r="H1942" s="7">
        <f t="shared" si="348"/>
        <v>0</v>
      </c>
      <c r="I1942" s="7"/>
      <c r="J1942" s="7">
        <v>72</v>
      </c>
      <c r="K1942" s="7">
        <v>10</v>
      </c>
      <c r="L1942" s="7"/>
      <c r="M1942" s="7"/>
      <c r="N1942" s="7"/>
      <c r="O1942" s="7"/>
      <c r="P1942" s="7"/>
      <c r="Q1942" s="7"/>
      <c r="R1942" s="7"/>
      <c r="S1942" s="9">
        <f t="shared" si="345"/>
        <v>93</v>
      </c>
      <c r="T1942" s="10">
        <f t="shared" si="346"/>
        <v>0</v>
      </c>
      <c r="U1942" s="10"/>
    </row>
    <row r="1943" spans="1:21">
      <c r="A1943" s="6"/>
      <c r="B1943" s="11" t="s">
        <v>101</v>
      </c>
      <c r="C1943" s="7" t="s">
        <v>26</v>
      </c>
      <c r="D1943" s="7"/>
      <c r="E1943" s="7"/>
      <c r="F1943" s="7">
        <f t="shared" si="347"/>
        <v>408</v>
      </c>
      <c r="G1943" s="8"/>
      <c r="H1943" s="7">
        <f t="shared" si="348"/>
        <v>0</v>
      </c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9">
        <f t="shared" si="345"/>
        <v>408</v>
      </c>
      <c r="T1943" s="10">
        <f t="shared" si="346"/>
        <v>0</v>
      </c>
      <c r="U1943" s="10"/>
    </row>
    <row r="1944" spans="1:21">
      <c r="A1944" s="6"/>
      <c r="B1944" s="11" t="s">
        <v>102</v>
      </c>
      <c r="C1944" s="7" t="s">
        <v>26</v>
      </c>
      <c r="D1944" s="7"/>
      <c r="E1944" s="7"/>
      <c r="F1944" s="7">
        <f t="shared" si="347"/>
        <v>74</v>
      </c>
      <c r="G1944" s="8"/>
      <c r="H1944" s="7">
        <f t="shared" si="348"/>
        <v>0</v>
      </c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9">
        <f t="shared" si="345"/>
        <v>74</v>
      </c>
      <c r="T1944" s="10">
        <f t="shared" si="346"/>
        <v>0</v>
      </c>
      <c r="U1944" s="10"/>
    </row>
    <row r="1945" spans="1:21">
      <c r="A1945" s="6"/>
      <c r="B1945" s="11" t="s">
        <v>103</v>
      </c>
      <c r="C1945" s="7" t="s">
        <v>26</v>
      </c>
      <c r="D1945" s="7"/>
      <c r="E1945" s="7"/>
      <c r="F1945" s="7">
        <f t="shared" si="347"/>
        <v>326</v>
      </c>
      <c r="G1945" s="8"/>
      <c r="H1945" s="7">
        <f t="shared" si="348"/>
        <v>0</v>
      </c>
      <c r="I1945" s="7"/>
      <c r="J1945" s="7"/>
      <c r="K1945" s="7"/>
      <c r="L1945" s="7"/>
      <c r="M1945" s="7">
        <v>63</v>
      </c>
      <c r="N1945" s="7"/>
      <c r="O1945" s="7"/>
      <c r="P1945" s="7"/>
      <c r="Q1945" s="7"/>
      <c r="R1945" s="7"/>
      <c r="S1945" s="9">
        <f t="shared" si="345"/>
        <v>389</v>
      </c>
      <c r="T1945" s="10">
        <f t="shared" si="346"/>
        <v>0</v>
      </c>
      <c r="U1945" s="10"/>
    </row>
    <row r="1946" spans="1:21">
      <c r="A1946" s="6"/>
      <c r="B1946" s="11" t="s">
        <v>112</v>
      </c>
      <c r="C1946" s="7" t="s">
        <v>113</v>
      </c>
      <c r="D1946" s="7"/>
      <c r="E1946" s="7"/>
      <c r="F1946" s="7">
        <f t="shared" si="347"/>
        <v>1123</v>
      </c>
      <c r="G1946" s="8"/>
      <c r="H1946" s="7">
        <f t="shared" si="348"/>
        <v>0</v>
      </c>
      <c r="I1946" s="7"/>
      <c r="J1946" s="7">
        <v>63</v>
      </c>
      <c r="K1946" s="7"/>
      <c r="L1946" s="7"/>
      <c r="M1946" s="7"/>
      <c r="N1946" s="7"/>
      <c r="O1946" s="7"/>
      <c r="P1946" s="7"/>
      <c r="Q1946" s="7"/>
      <c r="R1946" s="7"/>
      <c r="S1946" s="9">
        <f t="shared" si="345"/>
        <v>1060</v>
      </c>
      <c r="T1946" s="10">
        <f t="shared" si="346"/>
        <v>0</v>
      </c>
      <c r="U1946" s="10"/>
    </row>
    <row r="1947" spans="1:21">
      <c r="A1947" s="6"/>
      <c r="B1947" s="11"/>
      <c r="C1947" s="7"/>
      <c r="D1947" s="7"/>
      <c r="E1947" s="7"/>
      <c r="F1947" s="7">
        <f t="shared" si="347"/>
        <v>0</v>
      </c>
      <c r="G1947" s="8"/>
      <c r="H1947" s="7">
        <f t="shared" si="348"/>
        <v>0</v>
      </c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9">
        <f t="shared" si="345"/>
        <v>0</v>
      </c>
      <c r="T1947" s="10">
        <f t="shared" si="346"/>
        <v>0</v>
      </c>
      <c r="U1947" s="10"/>
    </row>
    <row r="1948" spans="1:21">
      <c r="A1948" s="6"/>
      <c r="B1948" s="11"/>
      <c r="C1948" s="7"/>
      <c r="D1948" s="7"/>
      <c r="E1948" s="7"/>
      <c r="F1948" s="7">
        <f t="shared" si="347"/>
        <v>0</v>
      </c>
      <c r="G1948" s="8"/>
      <c r="H1948" s="7">
        <f t="shared" si="348"/>
        <v>0</v>
      </c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9">
        <f t="shared" si="345"/>
        <v>0</v>
      </c>
      <c r="T1948" s="10">
        <f t="shared" si="346"/>
        <v>0</v>
      </c>
      <c r="U1948" s="10"/>
    </row>
    <row r="1949" spans="1:21">
      <c r="A1949" s="6"/>
      <c r="B1949" s="11"/>
      <c r="C1949" s="7"/>
      <c r="D1949" s="7"/>
      <c r="E1949" s="7"/>
      <c r="F1949" s="7">
        <f t="shared" si="347"/>
        <v>0</v>
      </c>
      <c r="G1949" s="8"/>
      <c r="H1949" s="7">
        <f t="shared" si="348"/>
        <v>0</v>
      </c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9">
        <f t="shared" si="345"/>
        <v>0</v>
      </c>
      <c r="T1949" s="10">
        <f t="shared" si="346"/>
        <v>0</v>
      </c>
      <c r="U1949" s="10"/>
    </row>
    <row r="1950" spans="1:21">
      <c r="A1950" s="6"/>
      <c r="B1950" s="11"/>
      <c r="C1950" s="7"/>
      <c r="D1950" s="7"/>
      <c r="E1950" s="7"/>
      <c r="F1950" s="7">
        <f t="shared" si="347"/>
        <v>0</v>
      </c>
      <c r="G1950" s="8"/>
      <c r="H1950" s="7">
        <f t="shared" si="348"/>
        <v>0</v>
      </c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9">
        <f t="shared" si="345"/>
        <v>0</v>
      </c>
      <c r="T1950" s="10">
        <f t="shared" si="346"/>
        <v>0</v>
      </c>
      <c r="U1950" s="10"/>
    </row>
    <row r="1951" spans="1:21">
      <c r="A1951" s="6"/>
      <c r="B1951" s="11"/>
      <c r="C1951" s="7"/>
      <c r="D1951" s="7"/>
      <c r="E1951" s="7"/>
      <c r="F1951" s="7">
        <f t="shared" si="347"/>
        <v>0</v>
      </c>
      <c r="G1951" s="8"/>
      <c r="H1951" s="7">
        <f t="shared" si="348"/>
        <v>0</v>
      </c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9">
        <f t="shared" si="345"/>
        <v>0</v>
      </c>
      <c r="T1951" s="10">
        <f t="shared" si="346"/>
        <v>0</v>
      </c>
      <c r="U1951" s="10"/>
    </row>
    <row r="1952" spans="1:21">
      <c r="A1952" s="6"/>
      <c r="B1952" s="11"/>
      <c r="C1952" s="7"/>
      <c r="D1952" s="7"/>
      <c r="E1952" s="7"/>
      <c r="F1952" s="7">
        <f t="shared" si="347"/>
        <v>0</v>
      </c>
      <c r="G1952" s="8"/>
      <c r="H1952" s="7">
        <f t="shared" si="348"/>
        <v>0</v>
      </c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9">
        <f t="shared" si="345"/>
        <v>0</v>
      </c>
      <c r="T1952" s="10">
        <f t="shared" si="346"/>
        <v>0</v>
      </c>
      <c r="U1952" s="10"/>
    </row>
    <row r="1953" spans="1:25">
      <c r="A1953" s="6"/>
      <c r="B1953" s="11"/>
      <c r="C1953" s="7"/>
      <c r="D1953" s="7"/>
      <c r="E1953" s="7"/>
      <c r="F1953" s="7">
        <f t="shared" si="347"/>
        <v>0</v>
      </c>
      <c r="G1953" s="8"/>
      <c r="H1953" s="7">
        <f t="shared" si="348"/>
        <v>0</v>
      </c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9">
        <f t="shared" si="345"/>
        <v>0</v>
      </c>
      <c r="T1953" s="10">
        <f t="shared" si="346"/>
        <v>0</v>
      </c>
      <c r="U1953" s="10"/>
    </row>
    <row r="1954" spans="1:25">
      <c r="A1954" s="6"/>
      <c r="B1954" s="11"/>
      <c r="C1954" s="7"/>
      <c r="D1954" s="7"/>
      <c r="E1954" s="7"/>
      <c r="F1954" s="7">
        <f t="shared" si="347"/>
        <v>0</v>
      </c>
      <c r="G1954" s="8"/>
      <c r="H1954" s="7">
        <f t="shared" si="348"/>
        <v>0</v>
      </c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9">
        <f t="shared" si="345"/>
        <v>0</v>
      </c>
      <c r="T1954" s="10">
        <f t="shared" si="346"/>
        <v>0</v>
      </c>
      <c r="U1954" s="10"/>
    </row>
    <row r="1955" spans="1:25">
      <c r="A1955" s="6"/>
      <c r="B1955" s="11"/>
      <c r="C1955" s="7"/>
      <c r="D1955" s="7"/>
      <c r="E1955" s="7"/>
      <c r="F1955" s="7">
        <f t="shared" si="347"/>
        <v>0</v>
      </c>
      <c r="G1955" s="8"/>
      <c r="H1955" s="7">
        <f t="shared" si="348"/>
        <v>0</v>
      </c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9">
        <f t="shared" si="345"/>
        <v>0</v>
      </c>
      <c r="T1955" s="10">
        <f t="shared" si="346"/>
        <v>0</v>
      </c>
      <c r="U1955" s="10"/>
    </row>
    <row r="1956" spans="1:25">
      <c r="A1956" s="6"/>
      <c r="B1956" s="11"/>
      <c r="C1956" s="7"/>
      <c r="D1956" s="7"/>
      <c r="E1956" s="7"/>
      <c r="F1956" s="7">
        <f t="shared" si="347"/>
        <v>0</v>
      </c>
      <c r="G1956" s="8"/>
      <c r="H1956" s="7">
        <f t="shared" si="348"/>
        <v>0</v>
      </c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9">
        <f t="shared" si="345"/>
        <v>0</v>
      </c>
      <c r="T1956" s="10">
        <f t="shared" si="346"/>
        <v>0</v>
      </c>
      <c r="U1956" s="10"/>
      <c r="V1956">
        <f>X1956*0.1</f>
        <v>0</v>
      </c>
      <c r="W1956">
        <f>E1956*S1956*1.5</f>
        <v>0</v>
      </c>
      <c r="X1956">
        <f>J1956+K1956</f>
        <v>0</v>
      </c>
      <c r="Y1956">
        <f>X1956*0.13</f>
        <v>0</v>
      </c>
    </row>
    <row r="1957" spans="1:25">
      <c r="A1957" s="6">
        <v>46166</v>
      </c>
      <c r="B1957" t="s">
        <v>25</v>
      </c>
      <c r="C1957" s="7" t="s">
        <v>26</v>
      </c>
      <c r="D1957" s="7"/>
      <c r="E1957" s="7"/>
      <c r="F1957" s="7">
        <f t="shared" si="347"/>
        <v>39</v>
      </c>
      <c r="G1957" s="8">
        <v>2000</v>
      </c>
      <c r="H1957" s="7">
        <f t="shared" si="348"/>
        <v>0</v>
      </c>
      <c r="I1957" s="7"/>
      <c r="J1957" s="7">
        <v>240</v>
      </c>
      <c r="K1957" s="7">
        <v>120</v>
      </c>
      <c r="L1957" s="7"/>
      <c r="M1957" s="7"/>
      <c r="N1957" s="7"/>
      <c r="O1957" s="7"/>
      <c r="P1957" s="7"/>
      <c r="Q1957" s="7"/>
      <c r="R1957" s="7"/>
      <c r="S1957" s="9">
        <f t="shared" si="345"/>
        <v>1679</v>
      </c>
      <c r="T1957" s="10">
        <f t="shared" si="346"/>
        <v>0</v>
      </c>
      <c r="U1957" s="10"/>
      <c r="V1957">
        <f t="shared" ref="V1957:V1963" si="349">X1957*0.1</f>
        <v>36</v>
      </c>
      <c r="W1957">
        <f t="shared" ref="W1957:W1963" si="350">E1957*S1957*1.5</f>
        <v>0</v>
      </c>
      <c r="X1957">
        <f t="shared" ref="X1957:X1963" si="351">J1957+K1957</f>
        <v>360</v>
      </c>
      <c r="Y1957">
        <f t="shared" ref="Y1957:Y1963" si="352">X1957*0.13</f>
        <v>46.8</v>
      </c>
    </row>
    <row r="1958" spans="1:25">
      <c r="A1958" s="6"/>
      <c r="B1958" t="s">
        <v>27</v>
      </c>
      <c r="C1958" s="7" t="s">
        <v>26</v>
      </c>
      <c r="D1958" s="7"/>
      <c r="E1958" s="7"/>
      <c r="F1958" s="7">
        <f t="shared" si="347"/>
        <v>769</v>
      </c>
      <c r="G1958" s="8"/>
      <c r="H1958" s="7">
        <f t="shared" si="348"/>
        <v>0</v>
      </c>
      <c r="I1958" s="7"/>
      <c r="J1958" s="7"/>
      <c r="K1958" s="7"/>
      <c r="L1958" s="7"/>
      <c r="M1958" s="7">
        <v>72</v>
      </c>
      <c r="N1958" s="7"/>
      <c r="O1958" s="7"/>
      <c r="P1958" s="7"/>
      <c r="Q1958" s="7"/>
      <c r="R1958" s="7"/>
      <c r="S1958" s="9">
        <f t="shared" si="345"/>
        <v>841</v>
      </c>
      <c r="T1958" s="10">
        <f t="shared" si="346"/>
        <v>0</v>
      </c>
      <c r="U1958" s="10"/>
      <c r="V1958">
        <f t="shared" si="349"/>
        <v>0</v>
      </c>
      <c r="W1958">
        <f t="shared" si="350"/>
        <v>0</v>
      </c>
      <c r="X1958">
        <f t="shared" si="351"/>
        <v>0</v>
      </c>
      <c r="Y1958">
        <f t="shared" si="352"/>
        <v>0</v>
      </c>
    </row>
    <row r="1959" spans="1:25">
      <c r="A1959" s="6"/>
      <c r="B1959" s="6" t="s">
        <v>28</v>
      </c>
      <c r="C1959" s="7" t="s">
        <v>26</v>
      </c>
      <c r="D1959" s="7"/>
      <c r="E1959" s="7"/>
      <c r="F1959" s="7">
        <f t="shared" si="347"/>
        <v>787</v>
      </c>
      <c r="G1959" s="8">
        <v>580</v>
      </c>
      <c r="H1959" s="7">
        <f t="shared" si="348"/>
        <v>0</v>
      </c>
      <c r="I1959" s="7"/>
      <c r="J1959" s="7">
        <v>100</v>
      </c>
      <c r="K1959" s="7"/>
      <c r="L1959" s="7"/>
      <c r="M1959" s="7"/>
      <c r="N1959" s="7"/>
      <c r="O1959" s="7"/>
      <c r="P1959" s="7"/>
      <c r="Q1959" s="7"/>
      <c r="R1959" s="7"/>
      <c r="S1959" s="9">
        <f t="shared" ref="S1959:S1966" si="353">F1959+G1959-J1959-K1959-L1959+M1959+O1959-P1959-R1959</f>
        <v>1267</v>
      </c>
      <c r="T1959" s="10">
        <f t="shared" ref="T1959:T1966" si="354">H1959+I1959+N1959+R1959-Q1959</f>
        <v>0</v>
      </c>
      <c r="U1959" s="10"/>
      <c r="V1959">
        <f t="shared" si="349"/>
        <v>10</v>
      </c>
      <c r="W1959">
        <f t="shared" si="350"/>
        <v>0</v>
      </c>
      <c r="X1959">
        <f t="shared" si="351"/>
        <v>100</v>
      </c>
      <c r="Y1959">
        <f t="shared" si="352"/>
        <v>13</v>
      </c>
    </row>
    <row r="1960" spans="1:25">
      <c r="A1960" s="6"/>
      <c r="B1960" s="6" t="s">
        <v>29</v>
      </c>
      <c r="C1960" s="7" t="s">
        <v>26</v>
      </c>
      <c r="D1960" s="7"/>
      <c r="E1960" s="7"/>
      <c r="F1960" s="7">
        <f t="shared" si="347"/>
        <v>362</v>
      </c>
      <c r="G1960" s="8"/>
      <c r="H1960" s="7">
        <f t="shared" si="348"/>
        <v>0</v>
      </c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9">
        <f t="shared" si="353"/>
        <v>362</v>
      </c>
      <c r="T1960" s="10">
        <f t="shared" si="354"/>
        <v>0</v>
      </c>
      <c r="U1960" s="10"/>
      <c r="V1960">
        <f t="shared" si="349"/>
        <v>0</v>
      </c>
      <c r="W1960">
        <f t="shared" si="350"/>
        <v>0</v>
      </c>
      <c r="X1960">
        <f t="shared" si="351"/>
        <v>0</v>
      </c>
      <c r="Y1960">
        <f t="shared" si="352"/>
        <v>0</v>
      </c>
    </row>
    <row r="1961" spans="1:25">
      <c r="A1961" s="6"/>
      <c r="B1961" s="6" t="s">
        <v>30</v>
      </c>
      <c r="C1961" s="7" t="s">
        <v>26</v>
      </c>
      <c r="D1961" s="7"/>
      <c r="E1961" s="7"/>
      <c r="F1961" s="7">
        <f t="shared" si="347"/>
        <v>1504</v>
      </c>
      <c r="G1961" s="8"/>
      <c r="H1961" s="7">
        <f t="shared" si="348"/>
        <v>0</v>
      </c>
      <c r="I1961" s="7"/>
      <c r="J1961" s="7">
        <v>240</v>
      </c>
      <c r="K1961" s="7">
        <v>120</v>
      </c>
      <c r="L1961" s="7"/>
      <c r="M1961" s="7"/>
      <c r="N1961" s="7"/>
      <c r="O1961" s="7"/>
      <c r="P1961" s="7"/>
      <c r="Q1961" s="7"/>
      <c r="R1961" s="7"/>
      <c r="S1961" s="9">
        <f t="shared" si="353"/>
        <v>1144</v>
      </c>
      <c r="T1961" s="10">
        <f t="shared" si="354"/>
        <v>0</v>
      </c>
      <c r="U1961" s="10"/>
      <c r="V1961">
        <f t="shared" si="349"/>
        <v>36</v>
      </c>
      <c r="W1961">
        <f t="shared" si="350"/>
        <v>0</v>
      </c>
      <c r="X1961">
        <f t="shared" si="351"/>
        <v>360</v>
      </c>
      <c r="Y1961">
        <f t="shared" si="352"/>
        <v>46.8</v>
      </c>
    </row>
    <row r="1962" spans="1:25">
      <c r="A1962" s="6"/>
      <c r="B1962" s="6" t="s">
        <v>31</v>
      </c>
      <c r="C1962" s="7" t="s">
        <v>26</v>
      </c>
      <c r="D1962" s="7"/>
      <c r="E1962" s="7"/>
      <c r="F1962" s="7">
        <f t="shared" si="347"/>
        <v>1699</v>
      </c>
      <c r="G1962" s="8"/>
      <c r="H1962" s="7">
        <f t="shared" si="348"/>
        <v>0</v>
      </c>
      <c r="I1962" s="7"/>
      <c r="J1962" s="7"/>
      <c r="K1962" s="7"/>
      <c r="L1962" s="7"/>
      <c r="M1962" s="7">
        <v>20</v>
      </c>
      <c r="N1962" s="7"/>
      <c r="O1962" s="7"/>
      <c r="P1962" s="7"/>
      <c r="Q1962" s="7"/>
      <c r="R1962" s="7"/>
      <c r="S1962" s="9">
        <f t="shared" si="353"/>
        <v>1719</v>
      </c>
      <c r="T1962" s="10">
        <f t="shared" si="354"/>
        <v>0</v>
      </c>
      <c r="U1962" s="10"/>
      <c r="V1962">
        <f t="shared" si="349"/>
        <v>0</v>
      </c>
      <c r="W1962">
        <f t="shared" si="350"/>
        <v>0</v>
      </c>
      <c r="X1962">
        <f t="shared" si="351"/>
        <v>0</v>
      </c>
      <c r="Y1962">
        <f t="shared" si="352"/>
        <v>0</v>
      </c>
    </row>
    <row r="1963" spans="1:25">
      <c r="A1963" s="6"/>
      <c r="B1963" s="6" t="s">
        <v>32</v>
      </c>
      <c r="C1963" s="7" t="s">
        <v>26</v>
      </c>
      <c r="D1963" s="7"/>
      <c r="E1963" s="7"/>
      <c r="F1963" s="7">
        <f t="shared" si="347"/>
        <v>598</v>
      </c>
      <c r="G1963" s="8">
        <v>1299</v>
      </c>
      <c r="H1963" s="7">
        <f t="shared" si="348"/>
        <v>0</v>
      </c>
      <c r="I1963" s="7"/>
      <c r="J1963" s="7">
        <v>120</v>
      </c>
      <c r="K1963" s="7"/>
      <c r="L1963" s="7"/>
      <c r="M1963" s="7"/>
      <c r="N1963" s="7"/>
      <c r="O1963" s="7"/>
      <c r="P1963" s="7"/>
      <c r="Q1963" s="7"/>
      <c r="R1963" s="7"/>
      <c r="S1963" s="9">
        <f t="shared" si="353"/>
        <v>1777</v>
      </c>
      <c r="T1963" s="10">
        <f t="shared" si="354"/>
        <v>0</v>
      </c>
      <c r="U1963" s="10"/>
      <c r="V1963">
        <f t="shared" si="349"/>
        <v>12</v>
      </c>
      <c r="W1963">
        <f t="shared" si="350"/>
        <v>0</v>
      </c>
      <c r="X1963">
        <f t="shared" si="351"/>
        <v>120</v>
      </c>
      <c r="Y1963">
        <f t="shared" si="352"/>
        <v>15.6</v>
      </c>
    </row>
    <row r="1964" spans="1:25">
      <c r="A1964" s="6"/>
      <c r="B1964" s="6" t="s">
        <v>33</v>
      </c>
      <c r="C1964" s="7" t="s">
        <v>26</v>
      </c>
      <c r="D1964" s="7"/>
      <c r="E1964" s="7"/>
      <c r="F1964" s="7">
        <f t="shared" si="347"/>
        <v>1753</v>
      </c>
      <c r="G1964" s="8"/>
      <c r="H1964" s="7">
        <f t="shared" si="348"/>
        <v>0</v>
      </c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9">
        <f t="shared" si="353"/>
        <v>1753</v>
      </c>
      <c r="T1964" s="10">
        <f t="shared" si="354"/>
        <v>0</v>
      </c>
      <c r="U1964" s="10"/>
    </row>
    <row r="1965" spans="1:25">
      <c r="A1965" s="6"/>
      <c r="B1965" s="11" t="s">
        <v>34</v>
      </c>
      <c r="C1965" s="7" t="s">
        <v>26</v>
      </c>
      <c r="D1965" s="7"/>
      <c r="E1965" s="7"/>
      <c r="F1965" s="7">
        <f t="shared" si="347"/>
        <v>17</v>
      </c>
      <c r="G1965" s="8"/>
      <c r="H1965" s="7">
        <f t="shared" si="348"/>
        <v>0</v>
      </c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9">
        <f t="shared" si="353"/>
        <v>17</v>
      </c>
      <c r="T1965" s="10">
        <f t="shared" si="354"/>
        <v>0</v>
      </c>
      <c r="U1965" s="10"/>
    </row>
    <row r="1966" spans="1:25">
      <c r="A1966" s="6"/>
      <c r="B1966" s="11" t="s">
        <v>35</v>
      </c>
      <c r="C1966" s="7" t="s">
        <v>26</v>
      </c>
      <c r="D1966" s="7"/>
      <c r="E1966" s="7"/>
      <c r="F1966" s="7">
        <f t="shared" si="347"/>
        <v>120</v>
      </c>
      <c r="G1966" s="8"/>
      <c r="H1966" s="7">
        <f t="shared" si="348"/>
        <v>0</v>
      </c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9">
        <f t="shared" si="353"/>
        <v>120</v>
      </c>
      <c r="T1966" s="10">
        <f t="shared" si="354"/>
        <v>0</v>
      </c>
      <c r="U1966" s="10"/>
    </row>
    <row r="1967" spans="1:25">
      <c r="A1967" s="6"/>
      <c r="B1967" s="11" t="s">
        <v>36</v>
      </c>
      <c r="C1967" s="7" t="s">
        <v>26</v>
      </c>
      <c r="D1967" s="7"/>
      <c r="E1967" s="7"/>
      <c r="F1967" s="7">
        <f t="shared" si="347"/>
        <v>6386</v>
      </c>
      <c r="G1967" s="8"/>
      <c r="H1967" s="7">
        <f t="shared" si="348"/>
        <v>0</v>
      </c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9">
        <f t="shared" ref="S1967:S2018" si="355">F1967+G1967-J1967-K1967-L1967+M1967+O1967-P1967-R1967</f>
        <v>6386</v>
      </c>
      <c r="T1967" s="10">
        <f t="shared" ref="T1967:T2018" si="356">H1967+I1967+N1967+R1967-Q1967</f>
        <v>0</v>
      </c>
      <c r="U1967" s="10"/>
    </row>
    <row r="1968" spans="1:25">
      <c r="A1968" s="6"/>
      <c r="B1968" s="11" t="s">
        <v>37</v>
      </c>
      <c r="C1968" s="7" t="s">
        <v>26</v>
      </c>
      <c r="D1968" s="7"/>
      <c r="E1968" s="7"/>
      <c r="F1968" s="7">
        <f t="shared" si="347"/>
        <v>1579</v>
      </c>
      <c r="G1968" s="8"/>
      <c r="H1968" s="7">
        <f t="shared" si="348"/>
        <v>0</v>
      </c>
      <c r="I1968" s="7"/>
      <c r="J1968" s="7"/>
      <c r="K1968" s="7"/>
      <c r="L1968" s="7"/>
      <c r="M1968" s="7">
        <v>59</v>
      </c>
      <c r="N1968" s="7"/>
      <c r="O1968" s="7"/>
      <c r="P1968" s="7"/>
      <c r="Q1968" s="7"/>
      <c r="R1968" s="7"/>
      <c r="S1968" s="9">
        <f t="shared" si="355"/>
        <v>1638</v>
      </c>
      <c r="T1968" s="10">
        <f t="shared" si="356"/>
        <v>0</v>
      </c>
      <c r="U1968" s="10"/>
    </row>
    <row r="1969" spans="1:21">
      <c r="A1969" s="6"/>
      <c r="B1969" s="11" t="s">
        <v>38</v>
      </c>
      <c r="C1969" s="7" t="s">
        <v>26</v>
      </c>
      <c r="D1969" s="7"/>
      <c r="E1969" s="7"/>
      <c r="F1969" s="7">
        <f t="shared" si="347"/>
        <v>0</v>
      </c>
      <c r="G1969" s="8"/>
      <c r="H1969" s="7">
        <f t="shared" si="348"/>
        <v>0</v>
      </c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9">
        <f t="shared" si="355"/>
        <v>0</v>
      </c>
      <c r="T1969" s="10">
        <f t="shared" si="356"/>
        <v>0</v>
      </c>
      <c r="U1969" s="10"/>
    </row>
    <row r="1970" spans="1:21">
      <c r="A1970" s="6"/>
      <c r="B1970" s="11" t="s">
        <v>39</v>
      </c>
      <c r="C1970" s="7" t="s">
        <v>26</v>
      </c>
      <c r="D1970" s="7"/>
      <c r="E1970" s="7"/>
      <c r="F1970" s="7">
        <f t="shared" si="347"/>
        <v>1933</v>
      </c>
      <c r="G1970" s="8"/>
      <c r="H1970" s="7">
        <f t="shared" si="348"/>
        <v>0</v>
      </c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9">
        <f t="shared" si="355"/>
        <v>1933</v>
      </c>
      <c r="T1970" s="10">
        <f t="shared" si="356"/>
        <v>0</v>
      </c>
      <c r="U1970" s="10"/>
    </row>
    <row r="1971" spans="1:21">
      <c r="A1971" s="6"/>
      <c r="B1971" s="11" t="s">
        <v>40</v>
      </c>
      <c r="C1971" s="7" t="s">
        <v>41</v>
      </c>
      <c r="D1971" s="7"/>
      <c r="E1971" s="7"/>
      <c r="F1971" s="7">
        <f t="shared" si="347"/>
        <v>0</v>
      </c>
      <c r="G1971" s="8"/>
      <c r="H1971" s="7">
        <f t="shared" si="348"/>
        <v>0</v>
      </c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9">
        <f t="shared" si="355"/>
        <v>0</v>
      </c>
      <c r="T1971" s="10">
        <f t="shared" si="356"/>
        <v>0</v>
      </c>
      <c r="U1971" s="10"/>
    </row>
    <row r="1972" spans="1:21">
      <c r="A1972" s="6"/>
      <c r="B1972" s="11" t="s">
        <v>42</v>
      </c>
      <c r="C1972" s="7" t="s">
        <v>41</v>
      </c>
      <c r="D1972" s="7"/>
      <c r="E1972" s="7"/>
      <c r="F1972" s="7">
        <f t="shared" si="347"/>
        <v>53</v>
      </c>
      <c r="G1972" s="8"/>
      <c r="H1972" s="7">
        <f t="shared" si="348"/>
        <v>0</v>
      </c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9">
        <f t="shared" si="355"/>
        <v>53</v>
      </c>
      <c r="T1972" s="10">
        <f t="shared" si="356"/>
        <v>0</v>
      </c>
      <c r="U1972" s="10"/>
    </row>
    <row r="1973" spans="1:21">
      <c r="A1973" s="6"/>
      <c r="B1973" s="11" t="s">
        <v>43</v>
      </c>
      <c r="C1973" s="7" t="s">
        <v>41</v>
      </c>
      <c r="D1973" s="7"/>
      <c r="E1973" s="7"/>
      <c r="F1973" s="7">
        <f t="shared" si="347"/>
        <v>0</v>
      </c>
      <c r="G1973" s="8"/>
      <c r="H1973" s="7">
        <f t="shared" si="348"/>
        <v>0</v>
      </c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9">
        <f t="shared" si="355"/>
        <v>0</v>
      </c>
      <c r="T1973" s="10">
        <f t="shared" si="356"/>
        <v>0</v>
      </c>
      <c r="U1973" s="10"/>
    </row>
    <row r="1974" spans="1:21">
      <c r="A1974" s="6"/>
      <c r="B1974" s="11" t="s">
        <v>44</v>
      </c>
      <c r="C1974" s="7" t="s">
        <v>41</v>
      </c>
      <c r="D1974" s="7"/>
      <c r="E1974" s="7"/>
      <c r="F1974" s="7">
        <f t="shared" si="347"/>
        <v>75</v>
      </c>
      <c r="G1974" s="8"/>
      <c r="H1974" s="7">
        <f t="shared" si="348"/>
        <v>0</v>
      </c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9">
        <f t="shared" si="355"/>
        <v>75</v>
      </c>
      <c r="T1974" s="10">
        <f t="shared" si="356"/>
        <v>0</v>
      </c>
      <c r="U1974" s="10"/>
    </row>
    <row r="1975" spans="1:21">
      <c r="A1975" s="6"/>
      <c r="B1975" s="11" t="s">
        <v>45</v>
      </c>
      <c r="C1975" s="7" t="s">
        <v>41</v>
      </c>
      <c r="D1975" s="7"/>
      <c r="E1975" s="7"/>
      <c r="F1975" s="7">
        <f t="shared" si="347"/>
        <v>0</v>
      </c>
      <c r="G1975" s="8"/>
      <c r="H1975" s="7">
        <f t="shared" si="348"/>
        <v>0</v>
      </c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9">
        <f t="shared" si="355"/>
        <v>0</v>
      </c>
      <c r="T1975" s="10">
        <f t="shared" si="356"/>
        <v>0</v>
      </c>
      <c r="U1975" s="10"/>
    </row>
    <row r="1976" spans="1:21">
      <c r="A1976" s="6"/>
      <c r="B1976" s="11" t="s">
        <v>46</v>
      </c>
      <c r="C1976" s="7" t="s">
        <v>41</v>
      </c>
      <c r="D1976" s="7"/>
      <c r="E1976" s="7"/>
      <c r="F1976" s="7">
        <f t="shared" si="347"/>
        <v>17</v>
      </c>
      <c r="G1976" s="8"/>
      <c r="H1976" s="7">
        <f t="shared" si="348"/>
        <v>0</v>
      </c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9">
        <f t="shared" si="355"/>
        <v>17</v>
      </c>
      <c r="T1976" s="10">
        <f t="shared" si="356"/>
        <v>0</v>
      </c>
      <c r="U1976" s="10"/>
    </row>
    <row r="1977" spans="1:21">
      <c r="A1977" s="6"/>
      <c r="B1977" s="11" t="s">
        <v>47</v>
      </c>
      <c r="C1977" s="7" t="s">
        <v>26</v>
      </c>
      <c r="D1977" s="7"/>
      <c r="E1977" s="7"/>
      <c r="F1977" s="7">
        <f t="shared" si="347"/>
        <v>0</v>
      </c>
      <c r="G1977" s="8"/>
      <c r="H1977" s="7">
        <f t="shared" si="348"/>
        <v>0</v>
      </c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9">
        <f t="shared" si="355"/>
        <v>0</v>
      </c>
      <c r="T1977" s="10">
        <f t="shared" si="356"/>
        <v>0</v>
      </c>
      <c r="U1977" s="10"/>
    </row>
    <row r="1978" spans="1:21">
      <c r="A1978" s="6"/>
      <c r="B1978" s="11" t="s">
        <v>48</v>
      </c>
      <c r="C1978" s="7" t="s">
        <v>26</v>
      </c>
      <c r="D1978" s="7"/>
      <c r="E1978" s="7"/>
      <c r="F1978" s="7">
        <f t="shared" si="347"/>
        <v>1187</v>
      </c>
      <c r="G1978" s="8">
        <v>13</v>
      </c>
      <c r="H1978" s="7">
        <f t="shared" si="348"/>
        <v>0</v>
      </c>
      <c r="I1978" s="7"/>
      <c r="J1978" s="7">
        <v>1200</v>
      </c>
      <c r="K1978" s="7"/>
      <c r="L1978" s="7"/>
      <c r="M1978" s="7"/>
      <c r="N1978" s="7"/>
      <c r="O1978" s="7"/>
      <c r="P1978" s="7"/>
      <c r="Q1978" s="7"/>
      <c r="R1978" s="7"/>
      <c r="S1978" s="9">
        <f t="shared" si="355"/>
        <v>0</v>
      </c>
      <c r="T1978" s="10">
        <f t="shared" si="356"/>
        <v>0</v>
      </c>
      <c r="U1978" s="10" t="s">
        <v>106</v>
      </c>
    </row>
    <row r="1979" spans="1:21">
      <c r="A1979" s="6"/>
      <c r="B1979" s="11" t="s">
        <v>50</v>
      </c>
      <c r="C1979" s="7" t="s">
        <v>26</v>
      </c>
      <c r="D1979" s="7"/>
      <c r="E1979" s="7"/>
      <c r="F1979" s="7">
        <f t="shared" ref="F1979:F2042" si="357">S1894</f>
        <v>0</v>
      </c>
      <c r="G1979" s="8"/>
      <c r="H1979" s="7">
        <f t="shared" si="348"/>
        <v>0</v>
      </c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9">
        <f t="shared" si="355"/>
        <v>0</v>
      </c>
      <c r="T1979" s="10">
        <f t="shared" si="356"/>
        <v>0</v>
      </c>
      <c r="U1979" s="10"/>
    </row>
    <row r="1980" spans="1:21">
      <c r="A1980" s="6"/>
      <c r="B1980" s="11" t="s">
        <v>51</v>
      </c>
      <c r="C1980" s="7" t="s">
        <v>26</v>
      </c>
      <c r="D1980" s="7"/>
      <c r="E1980" s="7"/>
      <c r="F1980" s="7">
        <f t="shared" si="357"/>
        <v>0</v>
      </c>
      <c r="G1980" s="8"/>
      <c r="H1980" s="7">
        <f t="shared" ref="H1980:H2043" si="358">T1895</f>
        <v>0</v>
      </c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9">
        <f t="shared" si="355"/>
        <v>0</v>
      </c>
      <c r="T1980" s="10">
        <f t="shared" si="356"/>
        <v>0</v>
      </c>
      <c r="U1980" s="10"/>
    </row>
    <row r="1981" spans="1:21">
      <c r="A1981" s="6"/>
      <c r="B1981" s="11" t="s">
        <v>52</v>
      </c>
      <c r="C1981" s="7" t="s">
        <v>26</v>
      </c>
      <c r="D1981" s="7"/>
      <c r="E1981" s="7"/>
      <c r="F1981" s="7">
        <f t="shared" si="357"/>
        <v>76</v>
      </c>
      <c r="G1981" s="8"/>
      <c r="H1981" s="7">
        <f t="shared" si="358"/>
        <v>0</v>
      </c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9">
        <f t="shared" si="355"/>
        <v>76</v>
      </c>
      <c r="T1981" s="10">
        <f t="shared" si="356"/>
        <v>0</v>
      </c>
      <c r="U1981" s="10"/>
    </row>
    <row r="1982" spans="1:21">
      <c r="A1982" s="6"/>
      <c r="B1982" s="11" t="s">
        <v>53</v>
      </c>
      <c r="C1982" s="7" t="s">
        <v>54</v>
      </c>
      <c r="D1982" s="7"/>
      <c r="E1982" s="7"/>
      <c r="F1982" s="7">
        <f t="shared" si="357"/>
        <v>0</v>
      </c>
      <c r="G1982" s="8"/>
      <c r="H1982" s="7">
        <f t="shared" si="358"/>
        <v>0</v>
      </c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9">
        <f t="shared" si="355"/>
        <v>0</v>
      </c>
      <c r="T1982" s="10">
        <f t="shared" si="356"/>
        <v>0</v>
      </c>
      <c r="U1982" s="10"/>
    </row>
    <row r="1983" spans="1:21">
      <c r="A1983" s="6"/>
      <c r="B1983" s="11" t="s">
        <v>55</v>
      </c>
      <c r="C1983" s="7" t="s">
        <v>54</v>
      </c>
      <c r="D1983" s="7"/>
      <c r="E1983" s="7"/>
      <c r="F1983" s="7">
        <f t="shared" si="357"/>
        <v>15</v>
      </c>
      <c r="G1983" s="8"/>
      <c r="H1983" s="7">
        <f t="shared" si="358"/>
        <v>0</v>
      </c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9">
        <f t="shared" si="355"/>
        <v>15</v>
      </c>
      <c r="T1983" s="10">
        <f t="shared" si="356"/>
        <v>0</v>
      </c>
      <c r="U1983" s="10"/>
    </row>
    <row r="1984" spans="1:21">
      <c r="A1984" s="6"/>
      <c r="B1984" s="11" t="s">
        <v>56</v>
      </c>
      <c r="C1984" s="7" t="s">
        <v>54</v>
      </c>
      <c r="D1984" s="7"/>
      <c r="E1984" s="7"/>
      <c r="F1984" s="7">
        <f t="shared" si="357"/>
        <v>863</v>
      </c>
      <c r="G1984" s="8"/>
      <c r="H1984" s="7">
        <f t="shared" si="358"/>
        <v>0</v>
      </c>
      <c r="I1984" s="7"/>
      <c r="J1984" s="7">
        <v>180</v>
      </c>
      <c r="K1984" s="7"/>
      <c r="L1984" s="7"/>
      <c r="M1984" s="7"/>
      <c r="N1984" s="7"/>
      <c r="O1984" s="7"/>
      <c r="P1984" s="7"/>
      <c r="Q1984" s="7"/>
      <c r="R1984" s="7"/>
      <c r="S1984" s="9">
        <f t="shared" si="355"/>
        <v>683</v>
      </c>
      <c r="T1984" s="10">
        <f t="shared" si="356"/>
        <v>0</v>
      </c>
      <c r="U1984" s="10"/>
    </row>
    <row r="1985" spans="1:21">
      <c r="A1985" s="6"/>
      <c r="B1985" s="11" t="s">
        <v>57</v>
      </c>
      <c r="C1985" s="7" t="s">
        <v>54</v>
      </c>
      <c r="D1985" s="7"/>
      <c r="E1985" s="7"/>
      <c r="F1985" s="7">
        <f t="shared" si="357"/>
        <v>172</v>
      </c>
      <c r="G1985" s="8"/>
      <c r="H1985" s="7">
        <f t="shared" si="358"/>
        <v>0</v>
      </c>
      <c r="I1985" s="7"/>
      <c r="J1985" s="7"/>
      <c r="K1985" s="7"/>
      <c r="L1985" s="7"/>
      <c r="M1985" s="7">
        <v>58</v>
      </c>
      <c r="N1985" s="7"/>
      <c r="O1985" s="7"/>
      <c r="P1985" s="7"/>
      <c r="Q1985" s="7"/>
      <c r="R1985" s="7"/>
      <c r="S1985" s="9">
        <f t="shared" si="355"/>
        <v>230</v>
      </c>
      <c r="T1985" s="10">
        <f t="shared" si="356"/>
        <v>0</v>
      </c>
      <c r="U1985" s="10"/>
    </row>
    <row r="1986" spans="1:21">
      <c r="A1986" s="6"/>
      <c r="B1986" s="11" t="s">
        <v>58</v>
      </c>
      <c r="C1986" s="7" t="s">
        <v>54</v>
      </c>
      <c r="D1986" s="7"/>
      <c r="E1986" s="7"/>
      <c r="F1986" s="7">
        <f t="shared" si="357"/>
        <v>0</v>
      </c>
      <c r="G1986" s="8"/>
      <c r="H1986" s="7">
        <f t="shared" si="358"/>
        <v>0</v>
      </c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9">
        <f t="shared" si="355"/>
        <v>0</v>
      </c>
      <c r="T1986" s="10">
        <f t="shared" si="356"/>
        <v>0</v>
      </c>
      <c r="U1986" s="10"/>
    </row>
    <row r="1987" spans="1:21">
      <c r="A1987" s="6"/>
      <c r="B1987" s="11" t="s">
        <v>59</v>
      </c>
      <c r="C1987" s="7" t="s">
        <v>54</v>
      </c>
      <c r="D1987" s="7"/>
      <c r="E1987" s="7"/>
      <c r="F1987" s="7">
        <f t="shared" si="357"/>
        <v>19</v>
      </c>
      <c r="G1987" s="8"/>
      <c r="H1987" s="7">
        <f t="shared" si="358"/>
        <v>0</v>
      </c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9">
        <f t="shared" si="355"/>
        <v>19</v>
      </c>
      <c r="T1987" s="10">
        <f t="shared" si="356"/>
        <v>0</v>
      </c>
      <c r="U1987" s="10"/>
    </row>
    <row r="1988" spans="1:21">
      <c r="A1988" s="6"/>
      <c r="B1988" s="11" t="s">
        <v>60</v>
      </c>
      <c r="C1988" s="7" t="s">
        <v>61</v>
      </c>
      <c r="D1988" s="7"/>
      <c r="E1988" s="7"/>
      <c r="F1988" s="7">
        <f t="shared" si="357"/>
        <v>0</v>
      </c>
      <c r="G1988" s="8"/>
      <c r="H1988" s="7">
        <f t="shared" si="358"/>
        <v>0</v>
      </c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9">
        <f t="shared" si="355"/>
        <v>0</v>
      </c>
      <c r="T1988" s="10">
        <f t="shared" si="356"/>
        <v>0</v>
      </c>
      <c r="U1988" s="10"/>
    </row>
    <row r="1989" spans="1:21">
      <c r="A1989" s="6"/>
      <c r="B1989" s="11" t="s">
        <v>62</v>
      </c>
      <c r="C1989" s="7" t="s">
        <v>61</v>
      </c>
      <c r="D1989" s="7"/>
      <c r="E1989" s="7"/>
      <c r="F1989" s="7">
        <f t="shared" si="357"/>
        <v>11</v>
      </c>
      <c r="G1989" s="8"/>
      <c r="H1989" s="7">
        <f t="shared" si="358"/>
        <v>0</v>
      </c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9">
        <f t="shared" si="355"/>
        <v>11</v>
      </c>
      <c r="T1989" s="10">
        <f t="shared" si="356"/>
        <v>0</v>
      </c>
      <c r="U1989" s="10"/>
    </row>
    <row r="1990" spans="1:21">
      <c r="A1990" s="6"/>
      <c r="B1990" s="10" t="s">
        <v>63</v>
      </c>
      <c r="C1990" s="10" t="s">
        <v>41</v>
      </c>
      <c r="D1990" s="7"/>
      <c r="E1990" s="7"/>
      <c r="F1990" s="7">
        <f t="shared" si="357"/>
        <v>0</v>
      </c>
      <c r="G1990" s="8"/>
      <c r="H1990" s="7">
        <f t="shared" si="358"/>
        <v>0</v>
      </c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9">
        <f t="shared" si="355"/>
        <v>0</v>
      </c>
      <c r="T1990" s="10">
        <f t="shared" si="356"/>
        <v>0</v>
      </c>
      <c r="U1990" s="10"/>
    </row>
    <row r="1991" spans="1:21">
      <c r="A1991" s="6"/>
      <c r="B1991" s="10" t="s">
        <v>64</v>
      </c>
      <c r="C1991" s="10" t="s">
        <v>41</v>
      </c>
      <c r="D1991" s="7"/>
      <c r="E1991" s="7"/>
      <c r="F1991" s="7">
        <f t="shared" si="357"/>
        <v>5</v>
      </c>
      <c r="G1991" s="8"/>
      <c r="H1991" s="7">
        <f t="shared" si="358"/>
        <v>0</v>
      </c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9">
        <f t="shared" si="355"/>
        <v>5</v>
      </c>
      <c r="T1991" s="10">
        <f t="shared" si="356"/>
        <v>0</v>
      </c>
      <c r="U1991" s="10"/>
    </row>
    <row r="1992" spans="1:21">
      <c r="A1992" s="6"/>
      <c r="B1992" s="11" t="s">
        <v>65</v>
      </c>
      <c r="C1992" s="7" t="s">
        <v>26</v>
      </c>
      <c r="D1992" s="7"/>
      <c r="E1992" s="7"/>
      <c r="F1992" s="7">
        <f t="shared" si="357"/>
        <v>0</v>
      </c>
      <c r="G1992" s="8"/>
      <c r="H1992" s="7">
        <f t="shared" si="358"/>
        <v>0</v>
      </c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9">
        <f t="shared" si="355"/>
        <v>0</v>
      </c>
      <c r="T1992" s="10">
        <f t="shared" si="356"/>
        <v>0</v>
      </c>
      <c r="U1992" s="10"/>
    </row>
    <row r="1993" spans="1:21">
      <c r="A1993" s="6"/>
      <c r="B1993" s="11" t="s">
        <v>66</v>
      </c>
      <c r="C1993" s="7" t="s">
        <v>26</v>
      </c>
      <c r="D1993" s="7"/>
      <c r="E1993" s="7"/>
      <c r="F1993" s="7">
        <f t="shared" si="357"/>
        <v>71</v>
      </c>
      <c r="G1993" s="8"/>
      <c r="H1993" s="7">
        <f t="shared" si="358"/>
        <v>0</v>
      </c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9">
        <f t="shared" si="355"/>
        <v>71</v>
      </c>
      <c r="T1993" s="10">
        <f t="shared" si="356"/>
        <v>0</v>
      </c>
      <c r="U1993" s="10"/>
    </row>
    <row r="1994" spans="1:21">
      <c r="A1994" s="6"/>
      <c r="B1994" s="11" t="s">
        <v>67</v>
      </c>
      <c r="C1994" s="7" t="s">
        <v>26</v>
      </c>
      <c r="D1994" s="7"/>
      <c r="E1994" s="7"/>
      <c r="F1994" s="7">
        <f t="shared" si="357"/>
        <v>0</v>
      </c>
      <c r="G1994" s="8"/>
      <c r="H1994" s="7">
        <f t="shared" si="358"/>
        <v>0</v>
      </c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9">
        <f t="shared" si="355"/>
        <v>0</v>
      </c>
      <c r="T1994" s="10">
        <f t="shared" si="356"/>
        <v>0</v>
      </c>
      <c r="U1994" s="10"/>
    </row>
    <row r="1995" spans="1:21">
      <c r="A1995" s="6"/>
      <c r="B1995" s="11" t="s">
        <v>68</v>
      </c>
      <c r="C1995" s="7" t="s">
        <v>26</v>
      </c>
      <c r="D1995" s="7"/>
      <c r="E1995" s="7"/>
      <c r="F1995" s="7">
        <f t="shared" si="357"/>
        <v>7</v>
      </c>
      <c r="G1995" s="8"/>
      <c r="H1995" s="7">
        <f t="shared" si="358"/>
        <v>0</v>
      </c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9">
        <f t="shared" si="355"/>
        <v>7</v>
      </c>
      <c r="T1995" s="10">
        <f t="shared" si="356"/>
        <v>0</v>
      </c>
      <c r="U1995" s="10"/>
    </row>
    <row r="1996" spans="1:21">
      <c r="A1996" s="6"/>
      <c r="B1996" s="11" t="s">
        <v>69</v>
      </c>
      <c r="C1996" s="7" t="s">
        <v>41</v>
      </c>
      <c r="D1996" s="7"/>
      <c r="E1996" s="7"/>
      <c r="F1996" s="7">
        <f t="shared" si="357"/>
        <v>0</v>
      </c>
      <c r="G1996" s="8"/>
      <c r="H1996" s="7">
        <f t="shared" si="358"/>
        <v>0</v>
      </c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9">
        <f t="shared" si="355"/>
        <v>0</v>
      </c>
      <c r="T1996" s="10">
        <f t="shared" si="356"/>
        <v>0</v>
      </c>
      <c r="U1996" s="10"/>
    </row>
    <row r="1997" spans="1:21">
      <c r="A1997" s="6"/>
      <c r="B1997" s="11" t="s">
        <v>70</v>
      </c>
      <c r="C1997" s="7" t="s">
        <v>41</v>
      </c>
      <c r="D1997" s="7"/>
      <c r="E1997" s="7"/>
      <c r="F1997" s="7">
        <f t="shared" si="357"/>
        <v>13</v>
      </c>
      <c r="G1997" s="8"/>
      <c r="H1997" s="7">
        <f t="shared" si="358"/>
        <v>0</v>
      </c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9">
        <f t="shared" si="355"/>
        <v>13</v>
      </c>
      <c r="T1997" s="10">
        <f t="shared" si="356"/>
        <v>0</v>
      </c>
      <c r="U1997" s="10"/>
    </row>
    <row r="1998" spans="1:21">
      <c r="A1998" s="6"/>
      <c r="B1998" s="11" t="s">
        <v>71</v>
      </c>
      <c r="C1998" s="7" t="s">
        <v>61</v>
      </c>
      <c r="D1998" s="7"/>
      <c r="E1998" s="7"/>
      <c r="F1998" s="7">
        <f t="shared" si="357"/>
        <v>0</v>
      </c>
      <c r="G1998" s="8"/>
      <c r="H1998" s="7">
        <f t="shared" si="358"/>
        <v>0</v>
      </c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9">
        <f t="shared" si="355"/>
        <v>0</v>
      </c>
      <c r="T1998" s="10">
        <f t="shared" si="356"/>
        <v>0</v>
      </c>
      <c r="U1998" s="10"/>
    </row>
    <row r="1999" spans="1:21">
      <c r="A1999" s="6"/>
      <c r="B1999" s="11" t="s">
        <v>72</v>
      </c>
      <c r="C1999" s="7" t="s">
        <v>61</v>
      </c>
      <c r="D1999" s="7"/>
      <c r="E1999" s="7"/>
      <c r="F1999" s="7">
        <f t="shared" si="357"/>
        <v>8</v>
      </c>
      <c r="G1999" s="8"/>
      <c r="H1999" s="7">
        <f t="shared" si="358"/>
        <v>0</v>
      </c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9">
        <f t="shared" si="355"/>
        <v>8</v>
      </c>
      <c r="T1999" s="10">
        <f t="shared" si="356"/>
        <v>0</v>
      </c>
      <c r="U1999" s="10"/>
    </row>
    <row r="2000" spans="1:21">
      <c r="A2000" s="6"/>
      <c r="B2000" s="11" t="s">
        <v>73</v>
      </c>
      <c r="C2000" s="7" t="s">
        <v>26</v>
      </c>
      <c r="D2000" s="7"/>
      <c r="E2000" s="7"/>
      <c r="F2000" s="7">
        <f t="shared" si="357"/>
        <v>0</v>
      </c>
      <c r="G2000" s="8"/>
      <c r="H2000" s="7">
        <f t="shared" si="358"/>
        <v>0</v>
      </c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9">
        <f t="shared" si="355"/>
        <v>0</v>
      </c>
      <c r="T2000" s="10">
        <f t="shared" si="356"/>
        <v>0</v>
      </c>
      <c r="U2000" s="10"/>
    </row>
    <row r="2001" spans="1:21">
      <c r="A2001" s="6"/>
      <c r="B2001" s="11" t="s">
        <v>74</v>
      </c>
      <c r="C2001" s="7" t="s">
        <v>26</v>
      </c>
      <c r="D2001" s="7"/>
      <c r="E2001" s="7"/>
      <c r="F2001" s="7">
        <f t="shared" si="357"/>
        <v>22</v>
      </c>
      <c r="G2001" s="8"/>
      <c r="H2001" s="7">
        <f t="shared" si="358"/>
        <v>0</v>
      </c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9">
        <f t="shared" si="355"/>
        <v>22</v>
      </c>
      <c r="T2001" s="10">
        <f t="shared" si="356"/>
        <v>0</v>
      </c>
      <c r="U2001" s="10"/>
    </row>
    <row r="2002" spans="1:21">
      <c r="A2002" s="6"/>
      <c r="B2002" s="11" t="s">
        <v>75</v>
      </c>
      <c r="C2002" s="7" t="s">
        <v>26</v>
      </c>
      <c r="D2002" s="7"/>
      <c r="E2002" s="7"/>
      <c r="F2002" s="7">
        <f t="shared" si="357"/>
        <v>0</v>
      </c>
      <c r="G2002" s="8"/>
      <c r="H2002" s="7">
        <f t="shared" si="358"/>
        <v>0</v>
      </c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9">
        <f t="shared" si="355"/>
        <v>0</v>
      </c>
      <c r="T2002" s="10">
        <f t="shared" si="356"/>
        <v>0</v>
      </c>
      <c r="U2002" s="10"/>
    </row>
    <row r="2003" spans="1:21">
      <c r="A2003" s="6"/>
      <c r="B2003" s="11" t="s">
        <v>76</v>
      </c>
      <c r="C2003" s="7" t="s">
        <v>26</v>
      </c>
      <c r="D2003" s="7"/>
      <c r="E2003" s="7"/>
      <c r="F2003" s="7">
        <f t="shared" si="357"/>
        <v>20</v>
      </c>
      <c r="G2003" s="8"/>
      <c r="H2003" s="7">
        <f t="shared" si="358"/>
        <v>0</v>
      </c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9">
        <f t="shared" si="355"/>
        <v>20</v>
      </c>
      <c r="T2003" s="10">
        <f t="shared" si="356"/>
        <v>0</v>
      </c>
      <c r="U2003" s="10"/>
    </row>
    <row r="2004" spans="1:21">
      <c r="A2004" s="6"/>
      <c r="B2004" s="11" t="s">
        <v>77</v>
      </c>
      <c r="C2004" s="7" t="s">
        <v>61</v>
      </c>
      <c r="D2004" s="7"/>
      <c r="E2004" s="7"/>
      <c r="F2004" s="7">
        <f t="shared" si="357"/>
        <v>0</v>
      </c>
      <c r="G2004" s="8"/>
      <c r="H2004" s="7">
        <f t="shared" si="358"/>
        <v>0</v>
      </c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9">
        <f t="shared" si="355"/>
        <v>0</v>
      </c>
      <c r="T2004" s="10">
        <f t="shared" si="356"/>
        <v>0</v>
      </c>
      <c r="U2004" s="10"/>
    </row>
    <row r="2005" spans="1:21">
      <c r="A2005" s="6"/>
      <c r="B2005" s="11" t="s">
        <v>78</v>
      </c>
      <c r="C2005" s="7" t="s">
        <v>61</v>
      </c>
      <c r="D2005" s="7"/>
      <c r="E2005" s="7"/>
      <c r="F2005" s="7">
        <f t="shared" si="357"/>
        <v>69</v>
      </c>
      <c r="G2005" s="8"/>
      <c r="H2005" s="7">
        <f t="shared" si="358"/>
        <v>0</v>
      </c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9">
        <f t="shared" si="355"/>
        <v>69</v>
      </c>
      <c r="T2005" s="10">
        <f t="shared" si="356"/>
        <v>0</v>
      </c>
      <c r="U2005" s="10"/>
    </row>
    <row r="2006" spans="1:21">
      <c r="A2006" s="6"/>
      <c r="B2006" s="11" t="s">
        <v>105</v>
      </c>
      <c r="C2006" s="7" t="s">
        <v>26</v>
      </c>
      <c r="D2006" s="7"/>
      <c r="E2006" s="7"/>
      <c r="F2006" s="7">
        <f t="shared" si="357"/>
        <v>1413</v>
      </c>
      <c r="G2006" s="8">
        <v>19</v>
      </c>
      <c r="H2006" s="7">
        <f t="shared" si="358"/>
        <v>0</v>
      </c>
      <c r="I2006" s="7"/>
      <c r="J2006" s="7">
        <v>93</v>
      </c>
      <c r="K2006" s="7"/>
      <c r="L2006" s="7"/>
      <c r="M2006" s="7"/>
      <c r="N2006" s="7"/>
      <c r="O2006" s="7"/>
      <c r="P2006" s="7"/>
      <c r="Q2006" s="7"/>
      <c r="R2006" s="7"/>
      <c r="S2006" s="9">
        <f t="shared" si="355"/>
        <v>1339</v>
      </c>
      <c r="T2006" s="10">
        <f t="shared" si="356"/>
        <v>0</v>
      </c>
      <c r="U2006" s="10"/>
    </row>
    <row r="2007" spans="1:21">
      <c r="A2007" s="6"/>
      <c r="B2007" s="11" t="s">
        <v>80</v>
      </c>
      <c r="C2007" s="7" t="s">
        <v>26</v>
      </c>
      <c r="D2007" s="7"/>
      <c r="E2007" s="7"/>
      <c r="F2007" s="7">
        <f t="shared" si="357"/>
        <v>462</v>
      </c>
      <c r="G2007" s="8"/>
      <c r="H2007" s="7">
        <f t="shared" si="358"/>
        <v>0</v>
      </c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9">
        <f t="shared" si="355"/>
        <v>462</v>
      </c>
      <c r="T2007" s="10">
        <f t="shared" si="356"/>
        <v>0</v>
      </c>
      <c r="U2007" s="10"/>
    </row>
    <row r="2008" spans="1:21">
      <c r="A2008" s="6"/>
      <c r="B2008" s="11" t="s">
        <v>81</v>
      </c>
      <c r="C2008" s="7" t="s">
        <v>26</v>
      </c>
      <c r="D2008" s="7"/>
      <c r="E2008" s="7"/>
      <c r="F2008" s="7">
        <f t="shared" si="357"/>
        <v>0</v>
      </c>
      <c r="G2008" s="8"/>
      <c r="H2008" s="7">
        <f t="shared" si="358"/>
        <v>0</v>
      </c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9">
        <f t="shared" si="355"/>
        <v>0</v>
      </c>
      <c r="T2008" s="10">
        <f t="shared" si="356"/>
        <v>0</v>
      </c>
      <c r="U2008" s="10"/>
    </row>
    <row r="2009" spans="1:21">
      <c r="A2009" s="6"/>
      <c r="B2009" s="11" t="s">
        <v>82</v>
      </c>
      <c r="C2009" s="7" t="s">
        <v>26</v>
      </c>
      <c r="D2009" s="7"/>
      <c r="E2009" s="7"/>
      <c r="F2009" s="7">
        <f t="shared" si="357"/>
        <v>14</v>
      </c>
      <c r="G2009" s="8"/>
      <c r="H2009" s="7">
        <f t="shared" si="358"/>
        <v>0</v>
      </c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9">
        <f t="shared" si="355"/>
        <v>14</v>
      </c>
      <c r="T2009" s="10">
        <f t="shared" si="356"/>
        <v>0</v>
      </c>
      <c r="U2009" s="10"/>
    </row>
    <row r="2010" spans="1:21">
      <c r="A2010" s="6"/>
      <c r="B2010" s="11" t="s">
        <v>83</v>
      </c>
      <c r="C2010" s="7" t="s">
        <v>26</v>
      </c>
      <c r="D2010" s="7"/>
      <c r="E2010" s="7"/>
      <c r="F2010" s="7">
        <f t="shared" si="357"/>
        <v>0</v>
      </c>
      <c r="G2010" s="8"/>
      <c r="H2010" s="7">
        <f t="shared" si="358"/>
        <v>0</v>
      </c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9">
        <f t="shared" si="355"/>
        <v>0</v>
      </c>
      <c r="T2010" s="10">
        <f t="shared" si="356"/>
        <v>0</v>
      </c>
      <c r="U2010" s="10"/>
    </row>
    <row r="2011" spans="1:21">
      <c r="A2011" s="6"/>
      <c r="B2011" s="11" t="s">
        <v>84</v>
      </c>
      <c r="C2011" s="7" t="s">
        <v>26</v>
      </c>
      <c r="D2011" s="7"/>
      <c r="E2011" s="7"/>
      <c r="F2011" s="7">
        <f t="shared" si="357"/>
        <v>28</v>
      </c>
      <c r="G2011" s="8"/>
      <c r="H2011" s="7">
        <f t="shared" si="358"/>
        <v>0</v>
      </c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9">
        <f t="shared" si="355"/>
        <v>28</v>
      </c>
      <c r="T2011" s="10">
        <f t="shared" si="356"/>
        <v>0</v>
      </c>
      <c r="U2011" s="10"/>
    </row>
    <row r="2012" spans="1:21">
      <c r="A2012" s="6"/>
      <c r="B2012" s="11" t="s">
        <v>85</v>
      </c>
      <c r="C2012" s="7" t="s">
        <v>61</v>
      </c>
      <c r="D2012" s="7"/>
      <c r="E2012" s="7"/>
      <c r="F2012" s="7">
        <f t="shared" si="357"/>
        <v>0</v>
      </c>
      <c r="G2012" s="8"/>
      <c r="H2012" s="7">
        <f t="shared" si="358"/>
        <v>0</v>
      </c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9">
        <f t="shared" si="355"/>
        <v>0</v>
      </c>
      <c r="T2012" s="10">
        <f t="shared" si="356"/>
        <v>0</v>
      </c>
      <c r="U2012" s="10"/>
    </row>
    <row r="2013" spans="1:21">
      <c r="A2013" s="6"/>
      <c r="B2013" s="11" t="s">
        <v>86</v>
      </c>
      <c r="C2013" s="7" t="s">
        <v>61</v>
      </c>
      <c r="D2013" s="7"/>
      <c r="E2013" s="7"/>
      <c r="F2013" s="7">
        <f t="shared" si="357"/>
        <v>10</v>
      </c>
      <c r="G2013" s="8"/>
      <c r="H2013" s="7">
        <f t="shared" si="358"/>
        <v>0</v>
      </c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9">
        <f t="shared" si="355"/>
        <v>10</v>
      </c>
      <c r="T2013" s="10">
        <f t="shared" si="356"/>
        <v>0</v>
      </c>
      <c r="U2013" s="10"/>
    </row>
    <row r="2014" spans="1:21">
      <c r="A2014" s="6"/>
      <c r="B2014" s="11" t="s">
        <v>87</v>
      </c>
      <c r="C2014" s="7" t="s">
        <v>26</v>
      </c>
      <c r="D2014" s="7"/>
      <c r="E2014" s="7"/>
      <c r="F2014" s="7">
        <f t="shared" si="357"/>
        <v>0</v>
      </c>
      <c r="G2014" s="8"/>
      <c r="H2014" s="7">
        <f t="shared" si="358"/>
        <v>0</v>
      </c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9">
        <f t="shared" si="355"/>
        <v>0</v>
      </c>
      <c r="T2014" s="10">
        <f t="shared" si="356"/>
        <v>0</v>
      </c>
      <c r="U2014" s="10"/>
    </row>
    <row r="2015" spans="1:21">
      <c r="A2015" s="6"/>
      <c r="B2015" s="11" t="s">
        <v>88</v>
      </c>
      <c r="C2015" s="10"/>
      <c r="D2015" s="7"/>
      <c r="E2015" s="7"/>
      <c r="F2015" s="7">
        <f t="shared" si="357"/>
        <v>7</v>
      </c>
      <c r="G2015" s="8"/>
      <c r="H2015" s="7">
        <f t="shared" si="358"/>
        <v>0</v>
      </c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9">
        <f t="shared" si="355"/>
        <v>7</v>
      </c>
      <c r="T2015" s="10">
        <f t="shared" si="356"/>
        <v>0</v>
      </c>
      <c r="U2015" s="10"/>
    </row>
    <row r="2016" spans="1:21">
      <c r="A2016" s="6"/>
      <c r="B2016" s="11" t="s">
        <v>89</v>
      </c>
      <c r="C2016" s="7" t="s">
        <v>26</v>
      </c>
      <c r="D2016" s="7"/>
      <c r="E2016" s="7"/>
      <c r="F2016" s="7">
        <f t="shared" si="357"/>
        <v>858</v>
      </c>
      <c r="G2016" s="8"/>
      <c r="H2016" s="7">
        <f t="shared" si="358"/>
        <v>0</v>
      </c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9">
        <f t="shared" si="355"/>
        <v>858</v>
      </c>
      <c r="T2016" s="10">
        <f t="shared" si="356"/>
        <v>0</v>
      </c>
      <c r="U2016" s="10"/>
    </row>
    <row r="2017" spans="1:21">
      <c r="A2017" s="6"/>
      <c r="B2017" s="11" t="s">
        <v>90</v>
      </c>
      <c r="C2017" s="7" t="s">
        <v>26</v>
      </c>
      <c r="D2017" s="7"/>
      <c r="E2017" s="7"/>
      <c r="F2017" s="7">
        <f t="shared" si="357"/>
        <v>0</v>
      </c>
      <c r="G2017" s="8"/>
      <c r="H2017" s="7">
        <f t="shared" si="358"/>
        <v>0</v>
      </c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9">
        <f t="shared" si="355"/>
        <v>0</v>
      </c>
      <c r="T2017" s="10">
        <f t="shared" si="356"/>
        <v>0</v>
      </c>
      <c r="U2017" s="10"/>
    </row>
    <row r="2018" spans="1:21">
      <c r="A2018" s="6"/>
      <c r="B2018" s="11" t="s">
        <v>91</v>
      </c>
      <c r="C2018" s="7" t="s">
        <v>26</v>
      </c>
      <c r="D2018" s="7"/>
      <c r="E2018" s="7"/>
      <c r="F2018" s="7">
        <f t="shared" si="357"/>
        <v>138</v>
      </c>
      <c r="G2018" s="8"/>
      <c r="H2018" s="7">
        <f t="shared" si="358"/>
        <v>0</v>
      </c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9">
        <f t="shared" si="355"/>
        <v>138</v>
      </c>
      <c r="T2018" s="10">
        <f t="shared" si="356"/>
        <v>0</v>
      </c>
      <c r="U2018" s="10"/>
    </row>
    <row r="2019" spans="1:21">
      <c r="A2019" s="6"/>
      <c r="B2019" s="12" t="s">
        <v>92</v>
      </c>
      <c r="C2019" s="13" t="s">
        <v>26</v>
      </c>
      <c r="D2019" s="7"/>
      <c r="E2019" s="7"/>
      <c r="F2019" s="7">
        <f t="shared" si="357"/>
        <v>374</v>
      </c>
      <c r="G2019" s="8"/>
      <c r="H2019" s="7">
        <f t="shared" si="358"/>
        <v>0</v>
      </c>
      <c r="I2019" s="7"/>
      <c r="J2019" s="7">
        <v>273</v>
      </c>
      <c r="K2019" s="7">
        <v>60</v>
      </c>
      <c r="L2019" s="7"/>
      <c r="M2019" s="7"/>
      <c r="N2019" s="7"/>
      <c r="O2019" s="7"/>
      <c r="P2019" s="7"/>
      <c r="Q2019" s="7"/>
      <c r="R2019" s="7"/>
      <c r="S2019" s="9">
        <f t="shared" ref="S2019:S2078" si="359">F2019+G2019-J2019-K2019-L2019+M2019+O2019-P2019-R2019</f>
        <v>41</v>
      </c>
      <c r="T2019" s="10">
        <f t="shared" ref="T2019:T2078" si="360">H2019+I2019+N2019+R2019-Q2019</f>
        <v>0</v>
      </c>
      <c r="U2019" s="10"/>
    </row>
    <row r="2020" spans="1:21">
      <c r="A2020" s="6"/>
      <c r="B2020" s="12" t="s">
        <v>93</v>
      </c>
      <c r="C2020" s="13" t="s">
        <v>26</v>
      </c>
      <c r="D2020" s="7"/>
      <c r="E2020" s="7"/>
      <c r="F2020" s="7">
        <f t="shared" si="357"/>
        <v>4207</v>
      </c>
      <c r="G2020" s="8"/>
      <c r="H2020" s="7">
        <f t="shared" si="358"/>
        <v>0</v>
      </c>
      <c r="I2020" s="7"/>
      <c r="J2020" s="7">
        <v>1202</v>
      </c>
      <c r="K2020" s="7">
        <v>192</v>
      </c>
      <c r="L2020" s="7">
        <v>144</v>
      </c>
      <c r="M2020" s="7">
        <v>89</v>
      </c>
      <c r="N2020" s="7"/>
      <c r="O2020" s="7"/>
      <c r="P2020" s="7"/>
      <c r="Q2020" s="7"/>
      <c r="R2020" s="7"/>
      <c r="S2020" s="9">
        <f t="shared" si="359"/>
        <v>2758</v>
      </c>
      <c r="T2020" s="10">
        <f t="shared" si="360"/>
        <v>0</v>
      </c>
      <c r="U2020" s="10"/>
    </row>
    <row r="2021" spans="1:21">
      <c r="A2021" s="6"/>
      <c r="B2021" s="11" t="s">
        <v>94</v>
      </c>
      <c r="C2021" s="7" t="s">
        <v>41</v>
      </c>
      <c r="D2021" s="7"/>
      <c r="E2021" s="7"/>
      <c r="F2021" s="7">
        <f t="shared" si="357"/>
        <v>0</v>
      </c>
      <c r="G2021" s="8"/>
      <c r="H2021" s="7">
        <f t="shared" si="358"/>
        <v>0</v>
      </c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9">
        <f t="shared" si="359"/>
        <v>0</v>
      </c>
      <c r="T2021" s="10">
        <f t="shared" si="360"/>
        <v>0</v>
      </c>
      <c r="U2021" s="10"/>
    </row>
    <row r="2022" spans="1:21">
      <c r="A2022" s="6"/>
      <c r="B2022" s="11" t="s">
        <v>95</v>
      </c>
      <c r="C2022" s="7" t="s">
        <v>41</v>
      </c>
      <c r="D2022" s="7"/>
      <c r="E2022" s="7"/>
      <c r="F2022" s="7">
        <f t="shared" si="357"/>
        <v>39</v>
      </c>
      <c r="G2022" s="8"/>
      <c r="H2022" s="7">
        <f t="shared" si="358"/>
        <v>0</v>
      </c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9">
        <f t="shared" si="359"/>
        <v>39</v>
      </c>
      <c r="T2022" s="10">
        <f t="shared" si="360"/>
        <v>0</v>
      </c>
      <c r="U2022" s="10"/>
    </row>
    <row r="2023" spans="1:21">
      <c r="A2023" s="6"/>
      <c r="B2023" s="11" t="s">
        <v>96</v>
      </c>
      <c r="C2023" s="7" t="s">
        <v>41</v>
      </c>
      <c r="D2023" s="7"/>
      <c r="E2023" s="7"/>
      <c r="F2023" s="7">
        <f t="shared" si="357"/>
        <v>0</v>
      </c>
      <c r="G2023" s="8"/>
      <c r="H2023" s="7">
        <f t="shared" si="358"/>
        <v>0</v>
      </c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9">
        <f t="shared" si="359"/>
        <v>0</v>
      </c>
      <c r="T2023" s="10">
        <f t="shared" si="360"/>
        <v>0</v>
      </c>
      <c r="U2023" s="10"/>
    </row>
    <row r="2024" spans="1:21">
      <c r="A2024" s="6"/>
      <c r="B2024" s="11" t="s">
        <v>97</v>
      </c>
      <c r="C2024" s="7" t="s">
        <v>41</v>
      </c>
      <c r="D2024" s="7"/>
      <c r="E2024" s="7"/>
      <c r="F2024" s="7">
        <f t="shared" si="357"/>
        <v>0</v>
      </c>
      <c r="G2024" s="8"/>
      <c r="H2024" s="7">
        <f t="shared" si="358"/>
        <v>0</v>
      </c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9">
        <f t="shared" si="359"/>
        <v>0</v>
      </c>
      <c r="T2024" s="10">
        <f t="shared" si="360"/>
        <v>0</v>
      </c>
      <c r="U2024" s="10"/>
    </row>
    <row r="2025" spans="1:21">
      <c r="A2025" s="6"/>
      <c r="B2025" s="11" t="s">
        <v>98</v>
      </c>
      <c r="C2025" s="7" t="s">
        <v>26</v>
      </c>
      <c r="D2025" s="7"/>
      <c r="E2025" s="7"/>
      <c r="F2025" s="7">
        <f t="shared" si="357"/>
        <v>681</v>
      </c>
      <c r="G2025" s="8">
        <v>988</v>
      </c>
      <c r="H2025" s="7">
        <f t="shared" si="358"/>
        <v>0</v>
      </c>
      <c r="I2025" s="7"/>
      <c r="J2025" s="7">
        <v>178</v>
      </c>
      <c r="K2025" s="7"/>
      <c r="L2025" s="7"/>
      <c r="M2025" s="7"/>
      <c r="N2025" s="7"/>
      <c r="O2025" s="7"/>
      <c r="P2025" s="7">
        <v>4</v>
      </c>
      <c r="Q2025" s="7"/>
      <c r="R2025" s="7"/>
      <c r="S2025" s="9">
        <f t="shared" si="359"/>
        <v>1487</v>
      </c>
      <c r="T2025" s="10">
        <f t="shared" si="360"/>
        <v>0</v>
      </c>
      <c r="U2025" s="10"/>
    </row>
    <row r="2026" spans="1:21">
      <c r="A2026" s="6"/>
      <c r="B2026" s="11" t="s">
        <v>99</v>
      </c>
      <c r="C2026" s="7" t="s">
        <v>26</v>
      </c>
      <c r="D2026" s="7"/>
      <c r="E2026" s="7"/>
      <c r="F2026" s="7">
        <f t="shared" si="357"/>
        <v>1580</v>
      </c>
      <c r="G2026" s="8">
        <v>96</v>
      </c>
      <c r="H2026" s="7">
        <f t="shared" si="358"/>
        <v>0</v>
      </c>
      <c r="I2026" s="7"/>
      <c r="J2026" s="7">
        <v>1662</v>
      </c>
      <c r="K2026" s="7"/>
      <c r="L2026" s="7"/>
      <c r="M2026" s="7">
        <v>16</v>
      </c>
      <c r="N2026" s="7"/>
      <c r="O2026" s="7"/>
      <c r="P2026" s="7"/>
      <c r="Q2026" s="7"/>
      <c r="R2026" s="7"/>
      <c r="S2026" s="9">
        <f t="shared" si="359"/>
        <v>30</v>
      </c>
      <c r="T2026" s="10">
        <f t="shared" si="360"/>
        <v>0</v>
      </c>
      <c r="U2026" s="10"/>
    </row>
    <row r="2027" spans="1:21">
      <c r="A2027" s="6"/>
      <c r="B2027" s="11" t="s">
        <v>100</v>
      </c>
      <c r="C2027" s="7" t="s">
        <v>26</v>
      </c>
      <c r="D2027" s="7"/>
      <c r="E2027" s="7"/>
      <c r="F2027" s="7">
        <f t="shared" si="357"/>
        <v>93</v>
      </c>
      <c r="G2027" s="8">
        <v>512</v>
      </c>
      <c r="H2027" s="7">
        <f t="shared" si="358"/>
        <v>0</v>
      </c>
      <c r="I2027" s="7"/>
      <c r="J2027" s="7">
        <v>105</v>
      </c>
      <c r="K2027" s="7">
        <v>60</v>
      </c>
      <c r="L2027" s="7"/>
      <c r="M2027" s="7"/>
      <c r="N2027" s="7"/>
      <c r="O2027" s="7"/>
      <c r="P2027" s="7"/>
      <c r="Q2027" s="7"/>
      <c r="R2027" s="7"/>
      <c r="S2027" s="9">
        <f t="shared" si="359"/>
        <v>440</v>
      </c>
      <c r="T2027" s="10">
        <f t="shared" si="360"/>
        <v>0</v>
      </c>
      <c r="U2027" s="10"/>
    </row>
    <row r="2028" spans="1:21">
      <c r="A2028" s="6"/>
      <c r="B2028" s="11" t="s">
        <v>101</v>
      </c>
      <c r="C2028" s="7" t="s">
        <v>26</v>
      </c>
      <c r="D2028" s="7"/>
      <c r="E2028" s="7"/>
      <c r="F2028" s="7">
        <f t="shared" si="357"/>
        <v>408</v>
      </c>
      <c r="G2028" s="8"/>
      <c r="H2028" s="7">
        <f t="shared" si="358"/>
        <v>0</v>
      </c>
      <c r="I2028" s="7"/>
      <c r="J2028" s="7"/>
      <c r="K2028" s="7"/>
      <c r="L2028" s="7"/>
      <c r="M2028" s="7"/>
      <c r="N2028" s="7"/>
      <c r="O2028" s="7"/>
      <c r="P2028" s="7">
        <v>288</v>
      </c>
      <c r="Q2028" s="7"/>
      <c r="R2028" s="7"/>
      <c r="S2028" s="9">
        <f t="shared" si="359"/>
        <v>120</v>
      </c>
      <c r="T2028" s="10">
        <f t="shared" si="360"/>
        <v>0</v>
      </c>
      <c r="U2028" s="10"/>
    </row>
    <row r="2029" spans="1:21">
      <c r="A2029" s="6"/>
      <c r="B2029" s="11" t="s">
        <v>102</v>
      </c>
      <c r="C2029" s="7" t="s">
        <v>26</v>
      </c>
      <c r="D2029" s="7"/>
      <c r="E2029" s="7"/>
      <c r="F2029" s="7">
        <f t="shared" si="357"/>
        <v>74</v>
      </c>
      <c r="G2029" s="8">
        <v>744</v>
      </c>
      <c r="H2029" s="7">
        <f t="shared" si="358"/>
        <v>0</v>
      </c>
      <c r="I2029" s="7"/>
      <c r="J2029" s="7">
        <v>72</v>
      </c>
      <c r="K2029" s="7"/>
      <c r="L2029" s="7"/>
      <c r="M2029" s="7"/>
      <c r="N2029" s="7"/>
      <c r="O2029" s="7"/>
      <c r="P2029" s="7"/>
      <c r="Q2029" s="7"/>
      <c r="R2029" s="7"/>
      <c r="S2029" s="9">
        <f t="shared" si="359"/>
        <v>746</v>
      </c>
      <c r="T2029" s="10">
        <f t="shared" si="360"/>
        <v>0</v>
      </c>
      <c r="U2029" s="10"/>
    </row>
    <row r="2030" spans="1:21">
      <c r="A2030" s="6"/>
      <c r="B2030" s="11" t="s">
        <v>103</v>
      </c>
      <c r="C2030" s="7" t="s">
        <v>26</v>
      </c>
      <c r="D2030" s="7"/>
      <c r="E2030" s="7"/>
      <c r="F2030" s="7">
        <f t="shared" si="357"/>
        <v>389</v>
      </c>
      <c r="G2030" s="8">
        <v>144</v>
      </c>
      <c r="H2030" s="7">
        <f t="shared" si="358"/>
        <v>0</v>
      </c>
      <c r="I2030" s="7"/>
      <c r="J2030" s="7"/>
      <c r="K2030" s="7"/>
      <c r="L2030" s="7"/>
      <c r="M2030" s="7">
        <v>24</v>
      </c>
      <c r="N2030" s="7"/>
      <c r="O2030" s="7"/>
      <c r="P2030" s="7"/>
      <c r="Q2030" s="7"/>
      <c r="R2030" s="7"/>
      <c r="S2030" s="9">
        <f t="shared" si="359"/>
        <v>557</v>
      </c>
      <c r="T2030" s="10">
        <f t="shared" si="360"/>
        <v>0</v>
      </c>
      <c r="U2030" s="10"/>
    </row>
    <row r="2031" spans="1:21">
      <c r="A2031" s="6"/>
      <c r="B2031" s="11" t="s">
        <v>112</v>
      </c>
      <c r="C2031" s="7" t="s">
        <v>113</v>
      </c>
      <c r="D2031" s="7"/>
      <c r="E2031" s="7"/>
      <c r="F2031" s="7">
        <f t="shared" si="357"/>
        <v>1060</v>
      </c>
      <c r="G2031" s="8"/>
      <c r="H2031" s="7">
        <f t="shared" si="358"/>
        <v>0</v>
      </c>
      <c r="I2031" s="7"/>
      <c r="J2031" s="7">
        <v>60</v>
      </c>
      <c r="K2031" s="7"/>
      <c r="L2031" s="7"/>
      <c r="M2031" s="7"/>
      <c r="N2031" s="7"/>
      <c r="O2031" s="7"/>
      <c r="P2031" s="7"/>
      <c r="Q2031" s="7"/>
      <c r="R2031" s="7"/>
      <c r="S2031" s="9">
        <f t="shared" si="359"/>
        <v>1000</v>
      </c>
      <c r="T2031" s="10">
        <f t="shared" si="360"/>
        <v>0</v>
      </c>
      <c r="U2031" s="10"/>
    </row>
    <row r="2032" spans="1:21">
      <c r="A2032" s="6"/>
      <c r="B2032" s="11"/>
      <c r="C2032" s="7"/>
      <c r="D2032" s="7"/>
      <c r="E2032" s="7"/>
      <c r="F2032" s="7">
        <f t="shared" si="357"/>
        <v>0</v>
      </c>
      <c r="G2032" s="8"/>
      <c r="H2032" s="7">
        <f t="shared" si="358"/>
        <v>0</v>
      </c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9">
        <f t="shared" si="359"/>
        <v>0</v>
      </c>
      <c r="T2032" s="10">
        <f t="shared" si="360"/>
        <v>0</v>
      </c>
      <c r="U2032" s="10"/>
    </row>
    <row r="2033" spans="1:25">
      <c r="A2033" s="6"/>
      <c r="B2033" s="11"/>
      <c r="C2033" s="7"/>
      <c r="D2033" s="7"/>
      <c r="E2033" s="7"/>
      <c r="F2033" s="7">
        <f t="shared" si="357"/>
        <v>0</v>
      </c>
      <c r="G2033" s="8"/>
      <c r="H2033" s="7">
        <f t="shared" si="358"/>
        <v>0</v>
      </c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9">
        <f t="shared" si="359"/>
        <v>0</v>
      </c>
      <c r="T2033" s="10">
        <f t="shared" si="360"/>
        <v>0</v>
      </c>
      <c r="U2033" s="10"/>
    </row>
    <row r="2034" spans="1:25">
      <c r="A2034" s="6"/>
      <c r="B2034" s="11"/>
      <c r="C2034" s="7"/>
      <c r="D2034" s="7"/>
      <c r="E2034" s="7"/>
      <c r="F2034" s="7">
        <f t="shared" si="357"/>
        <v>0</v>
      </c>
      <c r="G2034" s="8"/>
      <c r="H2034" s="7">
        <f t="shared" si="358"/>
        <v>0</v>
      </c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9">
        <f t="shared" si="359"/>
        <v>0</v>
      </c>
      <c r="T2034" s="10">
        <f t="shared" si="360"/>
        <v>0</v>
      </c>
      <c r="U2034" s="10"/>
    </row>
    <row r="2035" spans="1:25">
      <c r="A2035" s="6"/>
      <c r="B2035" s="11"/>
      <c r="C2035" s="7"/>
      <c r="D2035" s="7"/>
      <c r="E2035" s="7"/>
      <c r="F2035" s="7">
        <f t="shared" si="357"/>
        <v>0</v>
      </c>
      <c r="G2035" s="8"/>
      <c r="H2035" s="7">
        <f t="shared" si="358"/>
        <v>0</v>
      </c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9">
        <f t="shared" si="359"/>
        <v>0</v>
      </c>
      <c r="T2035" s="10">
        <f t="shared" si="360"/>
        <v>0</v>
      </c>
      <c r="U2035" s="10"/>
    </row>
    <row r="2036" spans="1:25">
      <c r="A2036" s="6"/>
      <c r="B2036" s="11"/>
      <c r="C2036" s="7"/>
      <c r="D2036" s="7"/>
      <c r="E2036" s="7"/>
      <c r="F2036" s="7">
        <f t="shared" si="357"/>
        <v>0</v>
      </c>
      <c r="G2036" s="8"/>
      <c r="H2036" s="7">
        <f t="shared" si="358"/>
        <v>0</v>
      </c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9">
        <f t="shared" si="359"/>
        <v>0</v>
      </c>
      <c r="T2036" s="10">
        <f t="shared" si="360"/>
        <v>0</v>
      </c>
      <c r="U2036" s="10"/>
    </row>
    <row r="2037" spans="1:25">
      <c r="A2037" s="6"/>
      <c r="B2037" s="11"/>
      <c r="C2037" s="7"/>
      <c r="D2037" s="7"/>
      <c r="E2037" s="7"/>
      <c r="F2037" s="7">
        <f t="shared" si="357"/>
        <v>0</v>
      </c>
      <c r="G2037" s="8"/>
      <c r="H2037" s="7">
        <f t="shared" si="358"/>
        <v>0</v>
      </c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9">
        <f t="shared" si="359"/>
        <v>0</v>
      </c>
      <c r="T2037" s="10">
        <f t="shared" si="360"/>
        <v>0</v>
      </c>
      <c r="U2037" s="10"/>
    </row>
    <row r="2038" spans="1:25">
      <c r="A2038" s="6"/>
      <c r="B2038" s="11"/>
      <c r="C2038" s="7"/>
      <c r="D2038" s="7"/>
      <c r="E2038" s="7"/>
      <c r="F2038" s="7">
        <f t="shared" si="357"/>
        <v>0</v>
      </c>
      <c r="G2038" s="8"/>
      <c r="H2038" s="7">
        <f t="shared" si="358"/>
        <v>0</v>
      </c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9">
        <f t="shared" si="359"/>
        <v>0</v>
      </c>
      <c r="T2038" s="10">
        <f t="shared" si="360"/>
        <v>0</v>
      </c>
      <c r="U2038" s="10"/>
    </row>
    <row r="2039" spans="1:25">
      <c r="A2039" s="6"/>
      <c r="B2039" s="11"/>
      <c r="C2039" s="7"/>
      <c r="D2039" s="7"/>
      <c r="E2039" s="7"/>
      <c r="F2039" s="7">
        <f t="shared" si="357"/>
        <v>0</v>
      </c>
      <c r="G2039" s="8"/>
      <c r="H2039" s="7">
        <f t="shared" si="358"/>
        <v>0</v>
      </c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9">
        <f t="shared" si="359"/>
        <v>0</v>
      </c>
      <c r="T2039" s="10">
        <f t="shared" si="360"/>
        <v>0</v>
      </c>
      <c r="U2039" s="10"/>
    </row>
    <row r="2040" spans="1:25">
      <c r="A2040" s="6"/>
      <c r="B2040" s="11"/>
      <c r="C2040" s="7"/>
      <c r="D2040" s="7"/>
      <c r="E2040" s="7"/>
      <c r="F2040" s="7">
        <f t="shared" si="357"/>
        <v>0</v>
      </c>
      <c r="G2040" s="8"/>
      <c r="H2040" s="7">
        <f t="shared" si="358"/>
        <v>0</v>
      </c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9">
        <f t="shared" si="359"/>
        <v>0</v>
      </c>
      <c r="T2040" s="10">
        <f t="shared" si="360"/>
        <v>0</v>
      </c>
      <c r="U2040" s="10"/>
    </row>
    <row r="2041" spans="1:25">
      <c r="A2041" s="6"/>
      <c r="B2041" s="11"/>
      <c r="C2041" s="7"/>
      <c r="D2041" s="7"/>
      <c r="E2041" s="7"/>
      <c r="F2041" s="7">
        <f t="shared" si="357"/>
        <v>0</v>
      </c>
      <c r="G2041" s="8"/>
      <c r="H2041" s="7">
        <f t="shared" si="358"/>
        <v>0</v>
      </c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9">
        <f t="shared" si="359"/>
        <v>0</v>
      </c>
      <c r="T2041" s="10">
        <f t="shared" si="360"/>
        <v>0</v>
      </c>
      <c r="U2041" s="10"/>
      <c r="V2041">
        <f>X2041*0.1</f>
        <v>0</v>
      </c>
      <c r="W2041">
        <f>E2041*S2041*1.5</f>
        <v>0</v>
      </c>
      <c r="X2041">
        <f>J2041+K2041</f>
        <v>0</v>
      </c>
      <c r="Y2041">
        <f>X2041*0.13</f>
        <v>0</v>
      </c>
    </row>
    <row r="2042" spans="1:25">
      <c r="A2042" s="6">
        <v>46167</v>
      </c>
      <c r="B2042" t="s">
        <v>25</v>
      </c>
      <c r="C2042" s="7" t="s">
        <v>26</v>
      </c>
      <c r="D2042" s="7"/>
      <c r="E2042" s="7"/>
      <c r="F2042" s="7">
        <f t="shared" si="357"/>
        <v>1679</v>
      </c>
      <c r="G2042" s="8"/>
      <c r="H2042" s="7">
        <f t="shared" si="358"/>
        <v>0</v>
      </c>
      <c r="I2042" s="7"/>
      <c r="J2042" s="7">
        <v>200</v>
      </c>
      <c r="K2042" s="7"/>
      <c r="L2042" s="7">
        <v>60</v>
      </c>
      <c r="M2042" s="7"/>
      <c r="N2042" s="7"/>
      <c r="O2042" s="7"/>
      <c r="P2042" s="7"/>
      <c r="Q2042" s="7"/>
      <c r="R2042" s="7"/>
      <c r="S2042" s="9">
        <f t="shared" si="359"/>
        <v>1419</v>
      </c>
      <c r="T2042" s="10">
        <f t="shared" si="360"/>
        <v>0</v>
      </c>
      <c r="U2042" s="10"/>
      <c r="V2042">
        <f t="shared" ref="V2042:V2048" si="361">X2042*0.1</f>
        <v>20</v>
      </c>
      <c r="W2042">
        <f t="shared" ref="W2042:W2048" si="362">E2042*S2042*1.5</f>
        <v>0</v>
      </c>
      <c r="X2042">
        <f t="shared" ref="X2042:X2048" si="363">J2042+K2042</f>
        <v>200</v>
      </c>
      <c r="Y2042">
        <f t="shared" ref="Y2042:Y2048" si="364">X2042*0.13</f>
        <v>26</v>
      </c>
    </row>
    <row r="2043" spans="1:25">
      <c r="A2043" s="6"/>
      <c r="B2043" t="s">
        <v>27</v>
      </c>
      <c r="C2043" s="7" t="s">
        <v>26</v>
      </c>
      <c r="D2043" s="7"/>
      <c r="E2043" s="7"/>
      <c r="F2043" s="7">
        <f t="shared" ref="F2043:F2051" si="365">S1958</f>
        <v>841</v>
      </c>
      <c r="G2043" s="8"/>
      <c r="H2043" s="7">
        <f t="shared" si="358"/>
        <v>0</v>
      </c>
      <c r="I2043" s="7"/>
      <c r="J2043" s="7"/>
      <c r="K2043" s="7"/>
      <c r="L2043" s="7"/>
      <c r="M2043" s="7">
        <v>24</v>
      </c>
      <c r="N2043" s="7"/>
      <c r="O2043" s="7"/>
      <c r="P2043" s="7"/>
      <c r="Q2043" s="7"/>
      <c r="R2043" s="7"/>
      <c r="S2043" s="9">
        <f t="shared" si="359"/>
        <v>865</v>
      </c>
      <c r="T2043" s="10">
        <f t="shared" si="360"/>
        <v>0</v>
      </c>
      <c r="U2043" s="10"/>
      <c r="V2043">
        <f t="shared" si="361"/>
        <v>0</v>
      </c>
      <c r="W2043">
        <f t="shared" si="362"/>
        <v>0</v>
      </c>
      <c r="X2043">
        <f t="shared" si="363"/>
        <v>0</v>
      </c>
      <c r="Y2043">
        <f t="shared" si="364"/>
        <v>0</v>
      </c>
    </row>
    <row r="2044" spans="1:25">
      <c r="A2044" s="6"/>
      <c r="B2044" s="6" t="s">
        <v>28</v>
      </c>
      <c r="C2044" s="7" t="s">
        <v>26</v>
      </c>
      <c r="D2044" s="7"/>
      <c r="E2044" s="7"/>
      <c r="F2044" s="7">
        <f t="shared" si="365"/>
        <v>1267</v>
      </c>
      <c r="G2044" s="8"/>
      <c r="H2044" s="7">
        <f t="shared" ref="H2044:H2051" si="366">T1959</f>
        <v>0</v>
      </c>
      <c r="I2044" s="7"/>
      <c r="J2044" s="7">
        <v>240</v>
      </c>
      <c r="K2044" s="7"/>
      <c r="L2044" s="7"/>
      <c r="M2044" s="7"/>
      <c r="N2044" s="7"/>
      <c r="O2044" s="7"/>
      <c r="P2044" s="7"/>
      <c r="Q2044" s="7"/>
      <c r="R2044" s="7"/>
      <c r="S2044" s="9">
        <f t="shared" si="359"/>
        <v>1027</v>
      </c>
      <c r="T2044" s="10">
        <f t="shared" si="360"/>
        <v>0</v>
      </c>
      <c r="U2044" s="10"/>
      <c r="V2044">
        <f t="shared" si="361"/>
        <v>24</v>
      </c>
      <c r="W2044">
        <f t="shared" si="362"/>
        <v>0</v>
      </c>
      <c r="X2044">
        <f t="shared" si="363"/>
        <v>240</v>
      </c>
      <c r="Y2044">
        <f t="shared" si="364"/>
        <v>31.2</v>
      </c>
    </row>
    <row r="2045" spans="1:25">
      <c r="A2045" s="6"/>
      <c r="B2045" s="6" t="s">
        <v>29</v>
      </c>
      <c r="C2045" s="7" t="s">
        <v>26</v>
      </c>
      <c r="D2045" s="7"/>
      <c r="E2045" s="7"/>
      <c r="F2045" s="7">
        <f t="shared" si="365"/>
        <v>362</v>
      </c>
      <c r="G2045" s="8"/>
      <c r="H2045" s="7">
        <f t="shared" si="366"/>
        <v>0</v>
      </c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9">
        <f t="shared" si="359"/>
        <v>362</v>
      </c>
      <c r="T2045" s="10">
        <f t="shared" si="360"/>
        <v>0</v>
      </c>
      <c r="U2045" s="10"/>
      <c r="V2045">
        <f t="shared" si="361"/>
        <v>0</v>
      </c>
      <c r="W2045">
        <f t="shared" si="362"/>
        <v>0</v>
      </c>
      <c r="X2045">
        <f t="shared" si="363"/>
        <v>0</v>
      </c>
      <c r="Y2045">
        <f t="shared" si="364"/>
        <v>0</v>
      </c>
    </row>
    <row r="2046" spans="1:25">
      <c r="A2046" s="6"/>
      <c r="B2046" s="6" t="s">
        <v>30</v>
      </c>
      <c r="C2046" s="7" t="s">
        <v>26</v>
      </c>
      <c r="D2046" s="7"/>
      <c r="E2046" s="7"/>
      <c r="F2046" s="7">
        <f t="shared" si="365"/>
        <v>1144</v>
      </c>
      <c r="G2046" s="8"/>
      <c r="H2046" s="7">
        <f t="shared" si="366"/>
        <v>0</v>
      </c>
      <c r="I2046" s="7"/>
      <c r="J2046" s="7">
        <v>240</v>
      </c>
      <c r="K2046" s="7">
        <v>120</v>
      </c>
      <c r="L2046" s="7"/>
      <c r="M2046" s="7"/>
      <c r="N2046" s="7"/>
      <c r="O2046" s="7"/>
      <c r="P2046" s="7"/>
      <c r="Q2046" s="7"/>
      <c r="R2046" s="7"/>
      <c r="S2046" s="9">
        <f t="shared" si="359"/>
        <v>784</v>
      </c>
      <c r="T2046" s="10">
        <f t="shared" si="360"/>
        <v>0</v>
      </c>
      <c r="U2046" s="10"/>
      <c r="V2046">
        <f t="shared" si="361"/>
        <v>36</v>
      </c>
      <c r="W2046">
        <f t="shared" si="362"/>
        <v>0</v>
      </c>
      <c r="X2046">
        <f t="shared" si="363"/>
        <v>360</v>
      </c>
      <c r="Y2046">
        <f t="shared" si="364"/>
        <v>46.8</v>
      </c>
    </row>
    <row r="2047" spans="1:25">
      <c r="A2047" s="6"/>
      <c r="B2047" s="6" t="s">
        <v>31</v>
      </c>
      <c r="C2047" s="7" t="s">
        <v>26</v>
      </c>
      <c r="D2047" s="7"/>
      <c r="E2047" s="7"/>
      <c r="F2047" s="7">
        <f t="shared" si="365"/>
        <v>1719</v>
      </c>
      <c r="G2047" s="8"/>
      <c r="H2047" s="7">
        <f t="shared" si="366"/>
        <v>0</v>
      </c>
      <c r="I2047" s="7"/>
      <c r="J2047" s="7"/>
      <c r="K2047" s="7"/>
      <c r="L2047" s="7"/>
      <c r="M2047" s="7">
        <v>40</v>
      </c>
      <c r="N2047" s="7"/>
      <c r="O2047" s="7"/>
      <c r="P2047" s="7"/>
      <c r="Q2047" s="7"/>
      <c r="R2047" s="7"/>
      <c r="S2047" s="9">
        <f t="shared" si="359"/>
        <v>1759</v>
      </c>
      <c r="T2047" s="10">
        <f t="shared" si="360"/>
        <v>0</v>
      </c>
      <c r="U2047" s="10"/>
      <c r="V2047">
        <f t="shared" si="361"/>
        <v>0</v>
      </c>
      <c r="W2047">
        <f t="shared" si="362"/>
        <v>0</v>
      </c>
      <c r="X2047">
        <f t="shared" si="363"/>
        <v>0</v>
      </c>
      <c r="Y2047">
        <f t="shared" si="364"/>
        <v>0</v>
      </c>
    </row>
    <row r="2048" spans="1:25">
      <c r="A2048" s="6"/>
      <c r="B2048" s="6" t="s">
        <v>32</v>
      </c>
      <c r="C2048" s="7" t="s">
        <v>26</v>
      </c>
      <c r="D2048" s="7"/>
      <c r="E2048" s="7"/>
      <c r="F2048" s="7">
        <f t="shared" si="365"/>
        <v>1777</v>
      </c>
      <c r="G2048" s="8"/>
      <c r="H2048" s="7">
        <f t="shared" si="366"/>
        <v>0</v>
      </c>
      <c r="I2048" s="7"/>
      <c r="J2048" s="7">
        <v>240</v>
      </c>
      <c r="K2048" s="7"/>
      <c r="L2048" s="7"/>
      <c r="M2048" s="7">
        <v>1</v>
      </c>
      <c r="N2048" s="7"/>
      <c r="O2048" s="7"/>
      <c r="P2048" s="7"/>
      <c r="Q2048" s="7"/>
      <c r="R2048" s="7"/>
      <c r="S2048" s="9">
        <f t="shared" si="359"/>
        <v>1538</v>
      </c>
      <c r="T2048" s="10">
        <f t="shared" si="360"/>
        <v>0</v>
      </c>
      <c r="U2048" s="10"/>
      <c r="V2048">
        <f t="shared" si="361"/>
        <v>24</v>
      </c>
      <c r="W2048">
        <f t="shared" si="362"/>
        <v>0</v>
      </c>
      <c r="X2048">
        <f t="shared" si="363"/>
        <v>240</v>
      </c>
      <c r="Y2048">
        <f t="shared" si="364"/>
        <v>31.2</v>
      </c>
    </row>
    <row r="2049" spans="1:21">
      <c r="A2049" s="6"/>
      <c r="B2049" s="6" t="s">
        <v>33</v>
      </c>
      <c r="C2049" s="7" t="s">
        <v>26</v>
      </c>
      <c r="D2049" s="7"/>
      <c r="E2049" s="7"/>
      <c r="F2049" s="7">
        <f t="shared" si="365"/>
        <v>1753</v>
      </c>
      <c r="G2049" s="8"/>
      <c r="H2049" s="7">
        <f t="shared" si="366"/>
        <v>0</v>
      </c>
      <c r="I2049" s="7"/>
      <c r="J2049" s="7"/>
      <c r="K2049" s="7"/>
      <c r="L2049" s="7"/>
      <c r="M2049" s="7">
        <v>24</v>
      </c>
      <c r="N2049" s="7"/>
      <c r="O2049" s="7"/>
      <c r="P2049" s="7"/>
      <c r="Q2049" s="7"/>
      <c r="R2049" s="7"/>
      <c r="S2049" s="9">
        <f t="shared" si="359"/>
        <v>1777</v>
      </c>
      <c r="T2049" s="10">
        <f t="shared" si="360"/>
        <v>0</v>
      </c>
      <c r="U2049" s="10"/>
    </row>
    <row r="2050" spans="1:21">
      <c r="A2050" s="6"/>
      <c r="B2050" s="11" t="s">
        <v>34</v>
      </c>
      <c r="C2050" s="7" t="s">
        <v>26</v>
      </c>
      <c r="D2050" s="7"/>
      <c r="E2050" s="7"/>
      <c r="F2050" s="7">
        <f t="shared" si="365"/>
        <v>17</v>
      </c>
      <c r="G2050" s="8"/>
      <c r="H2050" s="7">
        <f t="shared" si="366"/>
        <v>0</v>
      </c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9">
        <f t="shared" si="359"/>
        <v>17</v>
      </c>
      <c r="T2050" s="10">
        <f t="shared" si="360"/>
        <v>0</v>
      </c>
      <c r="U2050" s="10"/>
    </row>
    <row r="2051" spans="1:21">
      <c r="A2051" s="6"/>
      <c r="B2051" s="11" t="s">
        <v>35</v>
      </c>
      <c r="C2051" s="7" t="s">
        <v>26</v>
      </c>
      <c r="D2051" s="7"/>
      <c r="E2051" s="7"/>
      <c r="F2051" s="7">
        <f t="shared" si="365"/>
        <v>120</v>
      </c>
      <c r="G2051" s="8"/>
      <c r="H2051" s="7">
        <f t="shared" si="366"/>
        <v>0</v>
      </c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9">
        <f t="shared" si="359"/>
        <v>120</v>
      </c>
      <c r="T2051" s="10">
        <f t="shared" si="360"/>
        <v>0</v>
      </c>
      <c r="U2051" s="10"/>
    </row>
    <row r="2052" spans="1:21">
      <c r="A2052" s="6"/>
      <c r="B2052" s="11" t="s">
        <v>36</v>
      </c>
      <c r="C2052" s="7" t="s">
        <v>26</v>
      </c>
      <c r="D2052" s="7"/>
      <c r="E2052" s="7"/>
      <c r="F2052" s="7">
        <f t="shared" ref="F2052:F2102" si="367">S1967</f>
        <v>6386</v>
      </c>
      <c r="G2052" s="8"/>
      <c r="H2052" s="7">
        <f t="shared" ref="H2052:H2103" si="368">T1967</f>
        <v>0</v>
      </c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9">
        <f t="shared" si="359"/>
        <v>6386</v>
      </c>
      <c r="T2052" s="10">
        <f t="shared" si="360"/>
        <v>0</v>
      </c>
      <c r="U2052" s="10"/>
    </row>
    <row r="2053" spans="1:21">
      <c r="A2053" s="6"/>
      <c r="B2053" s="11" t="s">
        <v>37</v>
      </c>
      <c r="C2053" s="7" t="s">
        <v>26</v>
      </c>
      <c r="D2053" s="7"/>
      <c r="E2053" s="7"/>
      <c r="F2053" s="7">
        <f t="shared" si="367"/>
        <v>1638</v>
      </c>
      <c r="G2053" s="8"/>
      <c r="H2053" s="7">
        <f t="shared" si="368"/>
        <v>0</v>
      </c>
      <c r="I2053" s="7"/>
      <c r="J2053" s="7"/>
      <c r="K2053" s="7"/>
      <c r="L2053" s="7"/>
      <c r="M2053" s="7">
        <v>15</v>
      </c>
      <c r="N2053" s="7"/>
      <c r="O2053" s="7"/>
      <c r="P2053" s="7"/>
      <c r="Q2053" s="7"/>
      <c r="R2053" s="7"/>
      <c r="S2053" s="9">
        <f t="shared" si="359"/>
        <v>1653</v>
      </c>
      <c r="T2053" s="10">
        <f t="shared" si="360"/>
        <v>0</v>
      </c>
      <c r="U2053" s="10"/>
    </row>
    <row r="2054" spans="1:21">
      <c r="A2054" s="6"/>
      <c r="B2054" s="11" t="s">
        <v>38</v>
      </c>
      <c r="C2054" s="7" t="s">
        <v>26</v>
      </c>
      <c r="D2054" s="7"/>
      <c r="E2054" s="7"/>
      <c r="F2054" s="7">
        <f t="shared" si="367"/>
        <v>0</v>
      </c>
      <c r="G2054" s="8"/>
      <c r="H2054" s="7">
        <f t="shared" si="368"/>
        <v>0</v>
      </c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9">
        <f t="shared" si="359"/>
        <v>0</v>
      </c>
      <c r="T2054" s="10">
        <f t="shared" si="360"/>
        <v>0</v>
      </c>
      <c r="U2054" s="10"/>
    </row>
    <row r="2055" spans="1:21">
      <c r="A2055" s="6"/>
      <c r="B2055" s="11" t="s">
        <v>39</v>
      </c>
      <c r="C2055" s="7" t="s">
        <v>26</v>
      </c>
      <c r="D2055" s="7"/>
      <c r="E2055" s="7"/>
      <c r="F2055" s="7">
        <f t="shared" si="367"/>
        <v>1933</v>
      </c>
      <c r="G2055" s="8"/>
      <c r="H2055" s="7">
        <f t="shared" si="368"/>
        <v>0</v>
      </c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9">
        <f t="shared" si="359"/>
        <v>1933</v>
      </c>
      <c r="T2055" s="10">
        <f t="shared" si="360"/>
        <v>0</v>
      </c>
      <c r="U2055" s="10"/>
    </row>
    <row r="2056" spans="1:21">
      <c r="A2056" s="6"/>
      <c r="B2056" s="11" t="s">
        <v>40</v>
      </c>
      <c r="C2056" s="7" t="s">
        <v>41</v>
      </c>
      <c r="D2056" s="7"/>
      <c r="E2056" s="7"/>
      <c r="F2056" s="7">
        <f t="shared" si="367"/>
        <v>0</v>
      </c>
      <c r="G2056" s="8"/>
      <c r="H2056" s="7">
        <f t="shared" si="368"/>
        <v>0</v>
      </c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9">
        <f t="shared" si="359"/>
        <v>0</v>
      </c>
      <c r="T2056" s="10">
        <f t="shared" si="360"/>
        <v>0</v>
      </c>
      <c r="U2056" s="10"/>
    </row>
    <row r="2057" spans="1:21">
      <c r="A2057" s="6"/>
      <c r="B2057" s="11" t="s">
        <v>42</v>
      </c>
      <c r="C2057" s="7" t="s">
        <v>41</v>
      </c>
      <c r="D2057" s="7"/>
      <c r="E2057" s="7"/>
      <c r="F2057" s="7">
        <f t="shared" si="367"/>
        <v>53</v>
      </c>
      <c r="G2057" s="8"/>
      <c r="H2057" s="7">
        <f t="shared" si="368"/>
        <v>0</v>
      </c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9">
        <f t="shared" si="359"/>
        <v>53</v>
      </c>
      <c r="T2057" s="10">
        <f t="shared" si="360"/>
        <v>0</v>
      </c>
      <c r="U2057" s="10"/>
    </row>
    <row r="2058" spans="1:21">
      <c r="A2058" s="6"/>
      <c r="B2058" s="11" t="s">
        <v>43</v>
      </c>
      <c r="C2058" s="7" t="s">
        <v>41</v>
      </c>
      <c r="D2058" s="7"/>
      <c r="E2058" s="7"/>
      <c r="F2058" s="7">
        <f t="shared" si="367"/>
        <v>0</v>
      </c>
      <c r="G2058" s="8"/>
      <c r="H2058" s="7">
        <f t="shared" si="368"/>
        <v>0</v>
      </c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9">
        <f t="shared" si="359"/>
        <v>0</v>
      </c>
      <c r="T2058" s="10">
        <f t="shared" si="360"/>
        <v>0</v>
      </c>
      <c r="U2058" s="10"/>
    </row>
    <row r="2059" spans="1:21">
      <c r="A2059" s="6"/>
      <c r="B2059" s="11" t="s">
        <v>44</v>
      </c>
      <c r="C2059" s="7" t="s">
        <v>41</v>
      </c>
      <c r="D2059" s="7"/>
      <c r="E2059" s="7"/>
      <c r="F2059" s="7">
        <f t="shared" si="367"/>
        <v>75</v>
      </c>
      <c r="G2059" s="8"/>
      <c r="H2059" s="7">
        <f t="shared" si="368"/>
        <v>0</v>
      </c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9">
        <f t="shared" si="359"/>
        <v>75</v>
      </c>
      <c r="T2059" s="10">
        <f t="shared" si="360"/>
        <v>0</v>
      </c>
      <c r="U2059" s="10"/>
    </row>
    <row r="2060" spans="1:21">
      <c r="A2060" s="6"/>
      <c r="B2060" s="11" t="s">
        <v>45</v>
      </c>
      <c r="C2060" s="7" t="s">
        <v>41</v>
      </c>
      <c r="D2060" s="7"/>
      <c r="E2060" s="7"/>
      <c r="F2060" s="7">
        <f t="shared" si="367"/>
        <v>0</v>
      </c>
      <c r="G2060" s="8"/>
      <c r="H2060" s="7">
        <f t="shared" si="368"/>
        <v>0</v>
      </c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9">
        <f t="shared" si="359"/>
        <v>0</v>
      </c>
      <c r="T2060" s="10">
        <f t="shared" si="360"/>
        <v>0</v>
      </c>
      <c r="U2060" s="10"/>
    </row>
    <row r="2061" spans="1:21">
      <c r="A2061" s="6"/>
      <c r="B2061" s="11" t="s">
        <v>46</v>
      </c>
      <c r="C2061" s="7" t="s">
        <v>41</v>
      </c>
      <c r="D2061" s="7"/>
      <c r="E2061" s="7"/>
      <c r="F2061" s="7">
        <f t="shared" si="367"/>
        <v>17</v>
      </c>
      <c r="G2061" s="8"/>
      <c r="H2061" s="7">
        <f t="shared" si="368"/>
        <v>0</v>
      </c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9">
        <f t="shared" si="359"/>
        <v>17</v>
      </c>
      <c r="T2061" s="10">
        <f t="shared" si="360"/>
        <v>0</v>
      </c>
      <c r="U2061" s="10"/>
    </row>
    <row r="2062" spans="1:21">
      <c r="A2062" s="6"/>
      <c r="B2062" s="11" t="s">
        <v>47</v>
      </c>
      <c r="C2062" s="7" t="s">
        <v>26</v>
      </c>
      <c r="D2062" s="7"/>
      <c r="E2062" s="7"/>
      <c r="F2062" s="7">
        <f t="shared" si="367"/>
        <v>0</v>
      </c>
      <c r="G2062" s="8"/>
      <c r="H2062" s="7">
        <f t="shared" si="368"/>
        <v>0</v>
      </c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9">
        <f t="shared" si="359"/>
        <v>0</v>
      </c>
      <c r="T2062" s="10">
        <f t="shared" si="360"/>
        <v>0</v>
      </c>
      <c r="U2062" s="10"/>
    </row>
    <row r="2063" spans="1:21">
      <c r="A2063" s="6"/>
      <c r="B2063" s="11" t="s">
        <v>48</v>
      </c>
      <c r="C2063" s="7" t="s">
        <v>26</v>
      </c>
      <c r="D2063" s="7"/>
      <c r="E2063" s="7"/>
      <c r="F2063" s="7">
        <f t="shared" si="367"/>
        <v>0</v>
      </c>
      <c r="G2063" s="8"/>
      <c r="H2063" s="7">
        <f t="shared" si="368"/>
        <v>0</v>
      </c>
      <c r="I2063" s="7"/>
      <c r="J2063" s="7"/>
      <c r="K2063" s="7"/>
      <c r="L2063" s="7"/>
      <c r="M2063" s="7"/>
      <c r="N2063" s="7"/>
      <c r="O2063" s="7">
        <v>45</v>
      </c>
      <c r="P2063" s="7"/>
      <c r="Q2063" s="7"/>
      <c r="R2063" s="7"/>
      <c r="S2063" s="9">
        <f t="shared" si="359"/>
        <v>45</v>
      </c>
      <c r="T2063" s="10">
        <f t="shared" si="360"/>
        <v>0</v>
      </c>
      <c r="U2063" s="10"/>
    </row>
    <row r="2064" spans="1:21">
      <c r="A2064" s="6"/>
      <c r="B2064" s="11" t="s">
        <v>50</v>
      </c>
      <c r="C2064" s="7" t="s">
        <v>26</v>
      </c>
      <c r="D2064" s="7"/>
      <c r="E2064" s="7"/>
      <c r="F2064" s="7">
        <f t="shared" si="367"/>
        <v>0</v>
      </c>
      <c r="G2064" s="8"/>
      <c r="H2064" s="7">
        <f t="shared" si="368"/>
        <v>0</v>
      </c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9">
        <f t="shared" si="359"/>
        <v>0</v>
      </c>
      <c r="T2064" s="10">
        <f t="shared" si="360"/>
        <v>0</v>
      </c>
      <c r="U2064" s="10"/>
    </row>
    <row r="2065" spans="1:21">
      <c r="A2065" s="6"/>
      <c r="B2065" s="11" t="s">
        <v>51</v>
      </c>
      <c r="C2065" s="7" t="s">
        <v>26</v>
      </c>
      <c r="D2065" s="7"/>
      <c r="E2065" s="7"/>
      <c r="F2065" s="7">
        <f t="shared" si="367"/>
        <v>0</v>
      </c>
      <c r="G2065" s="8"/>
      <c r="H2065" s="7">
        <f t="shared" si="368"/>
        <v>0</v>
      </c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9">
        <f t="shared" si="359"/>
        <v>0</v>
      </c>
      <c r="T2065" s="10">
        <f t="shared" si="360"/>
        <v>0</v>
      </c>
      <c r="U2065" s="10"/>
    </row>
    <row r="2066" spans="1:21">
      <c r="A2066" s="6"/>
      <c r="B2066" s="11" t="s">
        <v>52</v>
      </c>
      <c r="C2066" s="7" t="s">
        <v>26</v>
      </c>
      <c r="D2066" s="7"/>
      <c r="E2066" s="7"/>
      <c r="F2066" s="7">
        <f t="shared" si="367"/>
        <v>76</v>
      </c>
      <c r="G2066" s="8"/>
      <c r="H2066" s="7">
        <f t="shared" si="368"/>
        <v>0</v>
      </c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9">
        <f t="shared" si="359"/>
        <v>76</v>
      </c>
      <c r="T2066" s="10">
        <f t="shared" si="360"/>
        <v>0</v>
      </c>
      <c r="U2066" s="10"/>
    </row>
    <row r="2067" spans="1:21">
      <c r="A2067" s="6"/>
      <c r="B2067" s="11" t="s">
        <v>53</v>
      </c>
      <c r="C2067" s="7" t="s">
        <v>54</v>
      </c>
      <c r="D2067" s="7"/>
      <c r="E2067" s="7"/>
      <c r="F2067" s="7">
        <f t="shared" si="367"/>
        <v>0</v>
      </c>
      <c r="G2067" s="8"/>
      <c r="H2067" s="7">
        <f t="shared" si="368"/>
        <v>0</v>
      </c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9">
        <f t="shared" si="359"/>
        <v>0</v>
      </c>
      <c r="T2067" s="10">
        <f t="shared" si="360"/>
        <v>0</v>
      </c>
      <c r="U2067" s="10"/>
    </row>
    <row r="2068" spans="1:21">
      <c r="A2068" s="6"/>
      <c r="B2068" s="11" t="s">
        <v>55</v>
      </c>
      <c r="C2068" s="7" t="s">
        <v>54</v>
      </c>
      <c r="D2068" s="7"/>
      <c r="E2068" s="7"/>
      <c r="F2068" s="7">
        <f t="shared" si="367"/>
        <v>15</v>
      </c>
      <c r="G2068" s="8"/>
      <c r="H2068" s="7">
        <f t="shared" si="368"/>
        <v>0</v>
      </c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9">
        <f t="shared" si="359"/>
        <v>15</v>
      </c>
      <c r="T2068" s="10">
        <f t="shared" si="360"/>
        <v>0</v>
      </c>
      <c r="U2068" s="10"/>
    </row>
    <row r="2069" spans="1:21">
      <c r="A2069" s="6"/>
      <c r="B2069" s="11" t="s">
        <v>56</v>
      </c>
      <c r="C2069" s="7" t="s">
        <v>54</v>
      </c>
      <c r="D2069" s="7"/>
      <c r="E2069" s="7"/>
      <c r="F2069" s="7">
        <f t="shared" si="367"/>
        <v>683</v>
      </c>
      <c r="G2069" s="8">
        <v>3066</v>
      </c>
      <c r="H2069" s="7">
        <f t="shared" si="368"/>
        <v>0</v>
      </c>
      <c r="I2069" s="7"/>
      <c r="J2069" s="7">
        <v>270</v>
      </c>
      <c r="K2069" s="7"/>
      <c r="L2069" s="7"/>
      <c r="M2069" s="7"/>
      <c r="N2069" s="7"/>
      <c r="O2069" s="7"/>
      <c r="P2069" s="7"/>
      <c r="Q2069" s="7"/>
      <c r="R2069" s="7"/>
      <c r="S2069" s="9">
        <f t="shared" si="359"/>
        <v>3479</v>
      </c>
      <c r="T2069" s="10">
        <f t="shared" si="360"/>
        <v>0</v>
      </c>
      <c r="U2069" s="10"/>
    </row>
    <row r="2070" spans="1:21">
      <c r="A2070" s="6"/>
      <c r="B2070" s="11" t="s">
        <v>57</v>
      </c>
      <c r="C2070" s="7" t="s">
        <v>54</v>
      </c>
      <c r="D2070" s="7"/>
      <c r="E2070" s="7"/>
      <c r="F2070" s="7">
        <f t="shared" si="367"/>
        <v>230</v>
      </c>
      <c r="G2070" s="8">
        <v>405</v>
      </c>
      <c r="H2070" s="7">
        <f t="shared" si="368"/>
        <v>0</v>
      </c>
      <c r="I2070" s="7"/>
      <c r="J2070" s="7"/>
      <c r="K2070" s="7"/>
      <c r="L2070" s="7"/>
      <c r="M2070" s="7">
        <v>17</v>
      </c>
      <c r="N2070" s="7"/>
      <c r="O2070" s="7"/>
      <c r="P2070" s="7"/>
      <c r="Q2070" s="7"/>
      <c r="R2070" s="7"/>
      <c r="S2070" s="9">
        <f t="shared" si="359"/>
        <v>652</v>
      </c>
      <c r="T2070" s="10">
        <f t="shared" si="360"/>
        <v>0</v>
      </c>
      <c r="U2070" s="10"/>
    </row>
    <row r="2071" spans="1:21">
      <c r="A2071" s="6"/>
      <c r="B2071" s="11" t="s">
        <v>58</v>
      </c>
      <c r="C2071" s="7" t="s">
        <v>54</v>
      </c>
      <c r="D2071" s="7"/>
      <c r="E2071" s="7"/>
      <c r="F2071" s="7">
        <f t="shared" si="367"/>
        <v>0</v>
      </c>
      <c r="G2071" s="8"/>
      <c r="H2071" s="7">
        <f t="shared" si="368"/>
        <v>0</v>
      </c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9">
        <f t="shared" si="359"/>
        <v>0</v>
      </c>
      <c r="T2071" s="10">
        <f t="shared" si="360"/>
        <v>0</v>
      </c>
      <c r="U2071" s="10"/>
    </row>
    <row r="2072" spans="1:21">
      <c r="A2072" s="6"/>
      <c r="B2072" s="11" t="s">
        <v>59</v>
      </c>
      <c r="C2072" s="7" t="s">
        <v>54</v>
      </c>
      <c r="D2072" s="7"/>
      <c r="E2072" s="7"/>
      <c r="F2072" s="7">
        <f t="shared" si="367"/>
        <v>19</v>
      </c>
      <c r="G2072" s="8"/>
      <c r="H2072" s="7">
        <f t="shared" si="368"/>
        <v>0</v>
      </c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9">
        <f t="shared" si="359"/>
        <v>19</v>
      </c>
      <c r="T2072" s="10">
        <f t="shared" si="360"/>
        <v>0</v>
      </c>
      <c r="U2072" s="10"/>
    </row>
    <row r="2073" spans="1:21">
      <c r="A2073" s="6"/>
      <c r="B2073" s="11" t="s">
        <v>60</v>
      </c>
      <c r="C2073" s="7" t="s">
        <v>61</v>
      </c>
      <c r="D2073" s="7"/>
      <c r="E2073" s="7"/>
      <c r="F2073" s="7">
        <f t="shared" si="367"/>
        <v>0</v>
      </c>
      <c r="G2073" s="8"/>
      <c r="H2073" s="7">
        <f t="shared" si="368"/>
        <v>0</v>
      </c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9">
        <f t="shared" si="359"/>
        <v>0</v>
      </c>
      <c r="T2073" s="10">
        <f t="shared" si="360"/>
        <v>0</v>
      </c>
      <c r="U2073" s="10"/>
    </row>
    <row r="2074" spans="1:21">
      <c r="A2074" s="6"/>
      <c r="B2074" s="11" t="s">
        <v>62</v>
      </c>
      <c r="C2074" s="7" t="s">
        <v>61</v>
      </c>
      <c r="D2074" s="7"/>
      <c r="E2074" s="7"/>
      <c r="F2074" s="7">
        <f t="shared" si="367"/>
        <v>11</v>
      </c>
      <c r="G2074" s="8"/>
      <c r="H2074" s="7">
        <f t="shared" si="368"/>
        <v>0</v>
      </c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9">
        <f t="shared" si="359"/>
        <v>11</v>
      </c>
      <c r="T2074" s="10">
        <f t="shared" si="360"/>
        <v>0</v>
      </c>
      <c r="U2074" s="10"/>
    </row>
    <row r="2075" spans="1:21">
      <c r="A2075" s="6"/>
      <c r="B2075" s="10" t="s">
        <v>63</v>
      </c>
      <c r="C2075" s="10" t="s">
        <v>41</v>
      </c>
      <c r="D2075" s="7"/>
      <c r="E2075" s="7"/>
      <c r="F2075" s="7">
        <f t="shared" si="367"/>
        <v>0</v>
      </c>
      <c r="G2075" s="8"/>
      <c r="H2075" s="7">
        <f t="shared" si="368"/>
        <v>0</v>
      </c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9">
        <f t="shared" si="359"/>
        <v>0</v>
      </c>
      <c r="T2075" s="10">
        <f t="shared" si="360"/>
        <v>0</v>
      </c>
      <c r="U2075" s="10"/>
    </row>
    <row r="2076" spans="1:21">
      <c r="A2076" s="6"/>
      <c r="B2076" s="10" t="s">
        <v>64</v>
      </c>
      <c r="C2076" s="10" t="s">
        <v>41</v>
      </c>
      <c r="D2076" s="7"/>
      <c r="E2076" s="7"/>
      <c r="F2076" s="7">
        <f t="shared" si="367"/>
        <v>5</v>
      </c>
      <c r="G2076" s="8"/>
      <c r="H2076" s="7">
        <f t="shared" si="368"/>
        <v>0</v>
      </c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9">
        <f t="shared" si="359"/>
        <v>5</v>
      </c>
      <c r="T2076" s="10">
        <f t="shared" si="360"/>
        <v>0</v>
      </c>
      <c r="U2076" s="10"/>
    </row>
    <row r="2077" spans="1:21">
      <c r="A2077" s="6"/>
      <c r="B2077" s="11" t="s">
        <v>65</v>
      </c>
      <c r="C2077" s="7" t="s">
        <v>26</v>
      </c>
      <c r="D2077" s="7"/>
      <c r="E2077" s="7"/>
      <c r="F2077" s="7">
        <f t="shared" si="367"/>
        <v>0</v>
      </c>
      <c r="G2077" s="8"/>
      <c r="H2077" s="7">
        <f t="shared" si="368"/>
        <v>0</v>
      </c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9">
        <f t="shared" si="359"/>
        <v>0</v>
      </c>
      <c r="T2077" s="10">
        <f t="shared" si="360"/>
        <v>0</v>
      </c>
      <c r="U2077" s="10"/>
    </row>
    <row r="2078" spans="1:21">
      <c r="A2078" s="6"/>
      <c r="B2078" s="11" t="s">
        <v>66</v>
      </c>
      <c r="C2078" s="7" t="s">
        <v>26</v>
      </c>
      <c r="D2078" s="7"/>
      <c r="E2078" s="7"/>
      <c r="F2078" s="7">
        <f t="shared" si="367"/>
        <v>71</v>
      </c>
      <c r="G2078" s="8"/>
      <c r="H2078" s="7">
        <f t="shared" si="368"/>
        <v>0</v>
      </c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9">
        <f t="shared" si="359"/>
        <v>71</v>
      </c>
      <c r="T2078" s="10">
        <f t="shared" si="360"/>
        <v>0</v>
      </c>
      <c r="U2078" s="10"/>
    </row>
    <row r="2079" spans="1:21">
      <c r="A2079" s="6"/>
      <c r="B2079" s="11" t="s">
        <v>67</v>
      </c>
      <c r="C2079" s="7" t="s">
        <v>26</v>
      </c>
      <c r="D2079" s="7"/>
      <c r="E2079" s="7"/>
      <c r="F2079" s="7">
        <f t="shared" si="367"/>
        <v>0</v>
      </c>
      <c r="G2079" s="8"/>
      <c r="H2079" s="7">
        <f t="shared" si="368"/>
        <v>0</v>
      </c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9">
        <f t="shared" ref="S2079:S2138" si="369">F2079+G2079-J2079-K2079-L2079+M2079+O2079-P2079-R2079</f>
        <v>0</v>
      </c>
      <c r="T2079" s="10">
        <f t="shared" ref="T2079:T2138" si="370">H2079+I2079+N2079+R2079-Q2079</f>
        <v>0</v>
      </c>
      <c r="U2079" s="10"/>
    </row>
    <row r="2080" spans="1:21">
      <c r="A2080" s="6"/>
      <c r="B2080" s="11" t="s">
        <v>68</v>
      </c>
      <c r="C2080" s="7" t="s">
        <v>26</v>
      </c>
      <c r="D2080" s="7"/>
      <c r="E2080" s="7"/>
      <c r="F2080" s="7">
        <f t="shared" si="367"/>
        <v>7</v>
      </c>
      <c r="G2080" s="8"/>
      <c r="H2080" s="7">
        <f t="shared" si="368"/>
        <v>0</v>
      </c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9">
        <f t="shared" si="369"/>
        <v>7</v>
      </c>
      <c r="T2080" s="10">
        <f t="shared" si="370"/>
        <v>0</v>
      </c>
      <c r="U2080" s="10"/>
    </row>
    <row r="2081" spans="1:21">
      <c r="A2081" s="6"/>
      <c r="B2081" s="11" t="s">
        <v>69</v>
      </c>
      <c r="C2081" s="7" t="s">
        <v>41</v>
      </c>
      <c r="D2081" s="7"/>
      <c r="E2081" s="7"/>
      <c r="F2081" s="7">
        <f t="shared" si="367"/>
        <v>0</v>
      </c>
      <c r="G2081" s="8"/>
      <c r="H2081" s="7">
        <f t="shared" si="368"/>
        <v>0</v>
      </c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9">
        <f t="shared" si="369"/>
        <v>0</v>
      </c>
      <c r="T2081" s="10">
        <f t="shared" si="370"/>
        <v>0</v>
      </c>
      <c r="U2081" s="10"/>
    </row>
    <row r="2082" spans="1:21">
      <c r="A2082" s="6"/>
      <c r="B2082" s="11" t="s">
        <v>70</v>
      </c>
      <c r="C2082" s="7" t="s">
        <v>41</v>
      </c>
      <c r="D2082" s="7"/>
      <c r="E2082" s="7"/>
      <c r="F2082" s="7">
        <f t="shared" si="367"/>
        <v>13</v>
      </c>
      <c r="G2082" s="8"/>
      <c r="H2082" s="7">
        <f t="shared" si="368"/>
        <v>0</v>
      </c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9">
        <f t="shared" si="369"/>
        <v>13</v>
      </c>
      <c r="T2082" s="10">
        <f t="shared" si="370"/>
        <v>0</v>
      </c>
      <c r="U2082" s="10"/>
    </row>
    <row r="2083" spans="1:21">
      <c r="A2083" s="6"/>
      <c r="B2083" s="11" t="s">
        <v>71</v>
      </c>
      <c r="C2083" s="7" t="s">
        <v>61</v>
      </c>
      <c r="D2083" s="7"/>
      <c r="E2083" s="7"/>
      <c r="F2083" s="7">
        <f t="shared" si="367"/>
        <v>0</v>
      </c>
      <c r="G2083" s="8"/>
      <c r="H2083" s="7">
        <f t="shared" si="368"/>
        <v>0</v>
      </c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9">
        <f t="shared" si="369"/>
        <v>0</v>
      </c>
      <c r="T2083" s="10">
        <f t="shared" si="370"/>
        <v>0</v>
      </c>
      <c r="U2083" s="10"/>
    </row>
    <row r="2084" spans="1:21">
      <c r="A2084" s="6"/>
      <c r="B2084" s="11" t="s">
        <v>72</v>
      </c>
      <c r="C2084" s="7" t="s">
        <v>61</v>
      </c>
      <c r="D2084" s="7"/>
      <c r="E2084" s="7"/>
      <c r="F2084" s="7">
        <f t="shared" si="367"/>
        <v>8</v>
      </c>
      <c r="G2084" s="8"/>
      <c r="H2084" s="7">
        <f t="shared" si="368"/>
        <v>0</v>
      </c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9">
        <f t="shared" si="369"/>
        <v>8</v>
      </c>
      <c r="T2084" s="10">
        <f t="shared" si="370"/>
        <v>0</v>
      </c>
      <c r="U2084" s="10"/>
    </row>
    <row r="2085" spans="1:21">
      <c r="A2085" s="6"/>
      <c r="B2085" s="11" t="s">
        <v>73</v>
      </c>
      <c r="C2085" s="7" t="s">
        <v>26</v>
      </c>
      <c r="D2085" s="7"/>
      <c r="E2085" s="7"/>
      <c r="F2085" s="7">
        <f t="shared" si="367"/>
        <v>0</v>
      </c>
      <c r="G2085" s="8"/>
      <c r="H2085" s="7">
        <f t="shared" si="368"/>
        <v>0</v>
      </c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9">
        <f t="shared" si="369"/>
        <v>0</v>
      </c>
      <c r="T2085" s="10">
        <f t="shared" si="370"/>
        <v>0</v>
      </c>
      <c r="U2085" s="10"/>
    </row>
    <row r="2086" spans="1:21">
      <c r="A2086" s="6"/>
      <c r="B2086" s="11" t="s">
        <v>74</v>
      </c>
      <c r="C2086" s="7" t="s">
        <v>26</v>
      </c>
      <c r="D2086" s="7"/>
      <c r="E2086" s="7"/>
      <c r="F2086" s="7">
        <f t="shared" si="367"/>
        <v>22</v>
      </c>
      <c r="G2086" s="8"/>
      <c r="H2086" s="7">
        <f t="shared" si="368"/>
        <v>0</v>
      </c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9">
        <f t="shared" si="369"/>
        <v>22</v>
      </c>
      <c r="T2086" s="10">
        <f t="shared" si="370"/>
        <v>0</v>
      </c>
      <c r="U2086" s="10"/>
    </row>
    <row r="2087" spans="1:21">
      <c r="A2087" s="6"/>
      <c r="B2087" s="11" t="s">
        <v>75</v>
      </c>
      <c r="C2087" s="7" t="s">
        <v>26</v>
      </c>
      <c r="D2087" s="7"/>
      <c r="E2087" s="7"/>
      <c r="F2087" s="7">
        <f t="shared" si="367"/>
        <v>0</v>
      </c>
      <c r="G2087" s="8"/>
      <c r="H2087" s="7">
        <f t="shared" si="368"/>
        <v>0</v>
      </c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9">
        <f t="shared" si="369"/>
        <v>0</v>
      </c>
      <c r="T2087" s="10">
        <f t="shared" si="370"/>
        <v>0</v>
      </c>
      <c r="U2087" s="10"/>
    </row>
    <row r="2088" spans="1:21">
      <c r="A2088" s="6"/>
      <c r="B2088" s="11" t="s">
        <v>76</v>
      </c>
      <c r="C2088" s="7" t="s">
        <v>26</v>
      </c>
      <c r="D2088" s="7"/>
      <c r="E2088" s="7"/>
      <c r="F2088" s="7">
        <f t="shared" si="367"/>
        <v>20</v>
      </c>
      <c r="G2088" s="8"/>
      <c r="H2088" s="7">
        <f t="shared" si="368"/>
        <v>0</v>
      </c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9">
        <f t="shared" si="369"/>
        <v>20</v>
      </c>
      <c r="T2088" s="10">
        <f t="shared" si="370"/>
        <v>0</v>
      </c>
      <c r="U2088" s="10"/>
    </row>
    <row r="2089" spans="1:21">
      <c r="A2089" s="6"/>
      <c r="B2089" s="11" t="s">
        <v>77</v>
      </c>
      <c r="C2089" s="7" t="s">
        <v>61</v>
      </c>
      <c r="D2089" s="7"/>
      <c r="E2089" s="7"/>
      <c r="F2089" s="7">
        <f t="shared" si="367"/>
        <v>0</v>
      </c>
      <c r="G2089" s="8"/>
      <c r="H2089" s="7">
        <f t="shared" si="368"/>
        <v>0</v>
      </c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9">
        <f t="shared" si="369"/>
        <v>0</v>
      </c>
      <c r="T2089" s="10">
        <f t="shared" si="370"/>
        <v>0</v>
      </c>
      <c r="U2089" s="10"/>
    </row>
    <row r="2090" spans="1:21">
      <c r="A2090" s="6"/>
      <c r="B2090" s="11" t="s">
        <v>78</v>
      </c>
      <c r="C2090" s="7" t="s">
        <v>61</v>
      </c>
      <c r="D2090" s="7"/>
      <c r="E2090" s="7"/>
      <c r="F2090" s="7">
        <f t="shared" si="367"/>
        <v>69</v>
      </c>
      <c r="G2090" s="8"/>
      <c r="H2090" s="7">
        <f t="shared" si="368"/>
        <v>0</v>
      </c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9">
        <f t="shared" si="369"/>
        <v>69</v>
      </c>
      <c r="T2090" s="10">
        <f t="shared" si="370"/>
        <v>0</v>
      </c>
      <c r="U2090" s="10"/>
    </row>
    <row r="2091" spans="1:21">
      <c r="A2091" s="6"/>
      <c r="B2091" s="11" t="s">
        <v>105</v>
      </c>
      <c r="C2091" s="7" t="s">
        <v>26</v>
      </c>
      <c r="D2091" s="7"/>
      <c r="E2091" s="7"/>
      <c r="F2091" s="7">
        <f t="shared" si="367"/>
        <v>1339</v>
      </c>
      <c r="G2091" s="8"/>
      <c r="H2091" s="7">
        <f t="shared" si="368"/>
        <v>0</v>
      </c>
      <c r="I2091" s="7"/>
      <c r="J2091" s="7">
        <v>60</v>
      </c>
      <c r="K2091" s="7">
        <v>10</v>
      </c>
      <c r="L2091" s="7"/>
      <c r="M2091" s="7"/>
      <c r="N2091" s="7"/>
      <c r="O2091" s="7"/>
      <c r="P2091" s="7"/>
      <c r="Q2091" s="7"/>
      <c r="R2091" s="7"/>
      <c r="S2091" s="9">
        <f t="shared" si="369"/>
        <v>1269</v>
      </c>
      <c r="T2091" s="10">
        <f t="shared" si="370"/>
        <v>0</v>
      </c>
      <c r="U2091" s="10"/>
    </row>
    <row r="2092" spans="1:21">
      <c r="A2092" s="6"/>
      <c r="B2092" s="11" t="s">
        <v>80</v>
      </c>
      <c r="C2092" s="7" t="s">
        <v>26</v>
      </c>
      <c r="D2092" s="7"/>
      <c r="E2092" s="7"/>
      <c r="F2092" s="7">
        <f t="shared" si="367"/>
        <v>462</v>
      </c>
      <c r="G2092" s="8"/>
      <c r="H2092" s="7">
        <f t="shared" si="368"/>
        <v>0</v>
      </c>
      <c r="I2092" s="7"/>
      <c r="J2092" s="7"/>
      <c r="K2092" s="7"/>
      <c r="L2092" s="7"/>
      <c r="M2092" s="7">
        <v>23</v>
      </c>
      <c r="N2092" s="7"/>
      <c r="O2092" s="7"/>
      <c r="P2092" s="7"/>
      <c r="Q2092" s="7"/>
      <c r="R2092" s="7"/>
      <c r="S2092" s="9">
        <f t="shared" si="369"/>
        <v>485</v>
      </c>
      <c r="T2092" s="10">
        <f t="shared" si="370"/>
        <v>0</v>
      </c>
      <c r="U2092" s="10"/>
    </row>
    <row r="2093" spans="1:21">
      <c r="A2093" s="6"/>
      <c r="B2093" s="11" t="s">
        <v>81</v>
      </c>
      <c r="C2093" s="7" t="s">
        <v>26</v>
      </c>
      <c r="D2093" s="7"/>
      <c r="E2093" s="7"/>
      <c r="F2093" s="7">
        <f t="shared" si="367"/>
        <v>0</v>
      </c>
      <c r="G2093" s="8"/>
      <c r="H2093" s="7">
        <f t="shared" si="368"/>
        <v>0</v>
      </c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9">
        <f t="shared" si="369"/>
        <v>0</v>
      </c>
      <c r="T2093" s="10">
        <f t="shared" si="370"/>
        <v>0</v>
      </c>
      <c r="U2093" s="10"/>
    </row>
    <row r="2094" spans="1:21">
      <c r="A2094" s="6"/>
      <c r="B2094" s="11" t="s">
        <v>82</v>
      </c>
      <c r="C2094" s="7" t="s">
        <v>26</v>
      </c>
      <c r="D2094" s="7"/>
      <c r="E2094" s="7"/>
      <c r="F2094" s="7">
        <f t="shared" si="367"/>
        <v>14</v>
      </c>
      <c r="G2094" s="8"/>
      <c r="H2094" s="7">
        <f t="shared" si="368"/>
        <v>0</v>
      </c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9">
        <f t="shared" si="369"/>
        <v>14</v>
      </c>
      <c r="T2094" s="10">
        <f t="shared" si="370"/>
        <v>0</v>
      </c>
      <c r="U2094" s="10"/>
    </row>
    <row r="2095" spans="1:21">
      <c r="A2095" s="6"/>
      <c r="B2095" s="11" t="s">
        <v>83</v>
      </c>
      <c r="C2095" s="7" t="s">
        <v>26</v>
      </c>
      <c r="D2095" s="7"/>
      <c r="E2095" s="7"/>
      <c r="F2095" s="7">
        <f t="shared" si="367"/>
        <v>0</v>
      </c>
      <c r="G2095" s="8"/>
      <c r="H2095" s="7">
        <f t="shared" si="368"/>
        <v>0</v>
      </c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9">
        <f t="shared" si="369"/>
        <v>0</v>
      </c>
      <c r="T2095" s="10">
        <f t="shared" si="370"/>
        <v>0</v>
      </c>
      <c r="U2095" s="10"/>
    </row>
    <row r="2096" spans="1:21">
      <c r="A2096" s="6"/>
      <c r="B2096" s="11" t="s">
        <v>84</v>
      </c>
      <c r="C2096" s="7" t="s">
        <v>26</v>
      </c>
      <c r="D2096" s="7"/>
      <c r="E2096" s="7"/>
      <c r="F2096" s="7">
        <f t="shared" si="367"/>
        <v>28</v>
      </c>
      <c r="G2096" s="8"/>
      <c r="H2096" s="7">
        <f t="shared" si="368"/>
        <v>0</v>
      </c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9">
        <f t="shared" si="369"/>
        <v>28</v>
      </c>
      <c r="T2096" s="10">
        <f t="shared" si="370"/>
        <v>0</v>
      </c>
      <c r="U2096" s="10"/>
    </row>
    <row r="2097" spans="1:21">
      <c r="A2097" s="6"/>
      <c r="B2097" s="11" t="s">
        <v>85</v>
      </c>
      <c r="C2097" s="7" t="s">
        <v>61</v>
      </c>
      <c r="D2097" s="7"/>
      <c r="E2097" s="7"/>
      <c r="F2097" s="7">
        <f t="shared" si="367"/>
        <v>0</v>
      </c>
      <c r="G2097" s="8"/>
      <c r="H2097" s="7">
        <f t="shared" si="368"/>
        <v>0</v>
      </c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9">
        <f t="shared" si="369"/>
        <v>0</v>
      </c>
      <c r="T2097" s="10">
        <f t="shared" si="370"/>
        <v>0</v>
      </c>
      <c r="U2097" s="10"/>
    </row>
    <row r="2098" spans="1:21">
      <c r="A2098" s="6"/>
      <c r="B2098" s="11" t="s">
        <v>86</v>
      </c>
      <c r="C2098" s="7" t="s">
        <v>61</v>
      </c>
      <c r="D2098" s="7"/>
      <c r="E2098" s="7"/>
      <c r="F2098" s="7">
        <f t="shared" si="367"/>
        <v>10</v>
      </c>
      <c r="G2098" s="8"/>
      <c r="H2098" s="7">
        <f t="shared" si="368"/>
        <v>0</v>
      </c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9">
        <f t="shared" si="369"/>
        <v>10</v>
      </c>
      <c r="T2098" s="10">
        <f t="shared" si="370"/>
        <v>0</v>
      </c>
      <c r="U2098" s="10"/>
    </row>
    <row r="2099" spans="1:21">
      <c r="A2099" s="6"/>
      <c r="B2099" s="11" t="s">
        <v>87</v>
      </c>
      <c r="C2099" s="7" t="s">
        <v>26</v>
      </c>
      <c r="D2099" s="7"/>
      <c r="E2099" s="7"/>
      <c r="F2099" s="7">
        <f t="shared" si="367"/>
        <v>0</v>
      </c>
      <c r="G2099" s="8"/>
      <c r="H2099" s="7">
        <f t="shared" si="368"/>
        <v>0</v>
      </c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9">
        <f t="shared" si="369"/>
        <v>0</v>
      </c>
      <c r="T2099" s="10">
        <f t="shared" si="370"/>
        <v>0</v>
      </c>
      <c r="U2099" s="10"/>
    </row>
    <row r="2100" spans="1:21">
      <c r="A2100" s="6"/>
      <c r="B2100" s="11" t="s">
        <v>88</v>
      </c>
      <c r="C2100" s="7"/>
      <c r="D2100" s="7"/>
      <c r="E2100" s="7"/>
      <c r="F2100" s="7">
        <f t="shared" si="367"/>
        <v>7</v>
      </c>
      <c r="G2100" s="8"/>
      <c r="H2100" s="7">
        <f t="shared" si="368"/>
        <v>0</v>
      </c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9">
        <f t="shared" si="369"/>
        <v>7</v>
      </c>
      <c r="T2100" s="10">
        <f t="shared" si="370"/>
        <v>0</v>
      </c>
      <c r="U2100" s="10"/>
    </row>
    <row r="2101" spans="1:21">
      <c r="A2101" s="6"/>
      <c r="B2101" s="11" t="s">
        <v>89</v>
      </c>
      <c r="C2101" s="7" t="s">
        <v>26</v>
      </c>
      <c r="D2101" s="7"/>
      <c r="E2101" s="7"/>
      <c r="F2101" s="7">
        <f t="shared" si="367"/>
        <v>858</v>
      </c>
      <c r="G2101" s="8"/>
      <c r="H2101" s="7">
        <f t="shared" si="368"/>
        <v>0</v>
      </c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9">
        <f t="shared" si="369"/>
        <v>858</v>
      </c>
      <c r="T2101" s="10">
        <f t="shared" si="370"/>
        <v>0</v>
      </c>
      <c r="U2101" s="10"/>
    </row>
    <row r="2102" spans="1:21">
      <c r="A2102" s="6"/>
      <c r="B2102" s="11" t="s">
        <v>90</v>
      </c>
      <c r="C2102" s="7" t="s">
        <v>26</v>
      </c>
      <c r="D2102" s="7"/>
      <c r="E2102" s="7"/>
      <c r="F2102" s="7">
        <f t="shared" si="367"/>
        <v>0</v>
      </c>
      <c r="G2102" s="8"/>
      <c r="H2102" s="7">
        <f t="shared" si="368"/>
        <v>0</v>
      </c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9">
        <f t="shared" si="369"/>
        <v>0</v>
      </c>
      <c r="T2102" s="10">
        <f t="shared" si="370"/>
        <v>0</v>
      </c>
      <c r="U2102" s="10"/>
    </row>
    <row r="2103" spans="1:21">
      <c r="A2103" s="6"/>
      <c r="B2103" s="11" t="s">
        <v>91</v>
      </c>
      <c r="C2103" s="7" t="s">
        <v>26</v>
      </c>
      <c r="D2103" s="7"/>
      <c r="E2103" s="7"/>
      <c r="F2103" s="7">
        <f t="shared" ref="F2103:F2162" si="371">S2018</f>
        <v>138</v>
      </c>
      <c r="G2103" s="8"/>
      <c r="H2103" s="7">
        <f t="shared" si="368"/>
        <v>0</v>
      </c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9">
        <f t="shared" si="369"/>
        <v>138</v>
      </c>
      <c r="T2103" s="10">
        <f t="shared" si="370"/>
        <v>0</v>
      </c>
      <c r="U2103" s="10"/>
    </row>
    <row r="2104" spans="1:21">
      <c r="A2104" s="6"/>
      <c r="B2104" s="12" t="s">
        <v>92</v>
      </c>
      <c r="C2104" s="13" t="s">
        <v>26</v>
      </c>
      <c r="D2104" s="7"/>
      <c r="E2104" s="7"/>
      <c r="F2104" s="7">
        <f t="shared" si="371"/>
        <v>41</v>
      </c>
      <c r="G2104" s="8">
        <v>2268</v>
      </c>
      <c r="H2104" s="7">
        <f t="shared" ref="H2104:H2163" si="372">T2019</f>
        <v>0</v>
      </c>
      <c r="I2104" s="7"/>
      <c r="J2104" s="7">
        <v>420</v>
      </c>
      <c r="K2104" s="7">
        <v>20</v>
      </c>
      <c r="L2104" s="7"/>
      <c r="M2104" s="7"/>
      <c r="N2104" s="7"/>
      <c r="O2104" s="7"/>
      <c r="P2104" s="7"/>
      <c r="Q2104" s="7"/>
      <c r="R2104" s="7"/>
      <c r="S2104" s="9">
        <f t="shared" si="369"/>
        <v>1869</v>
      </c>
      <c r="T2104" s="10">
        <f t="shared" si="370"/>
        <v>0</v>
      </c>
      <c r="U2104" s="10"/>
    </row>
    <row r="2105" spans="1:21">
      <c r="A2105" s="6"/>
      <c r="B2105" s="12" t="s">
        <v>93</v>
      </c>
      <c r="C2105" s="13" t="s">
        <v>26</v>
      </c>
      <c r="D2105" s="7"/>
      <c r="E2105" s="7"/>
      <c r="F2105" s="7">
        <f t="shared" si="371"/>
        <v>2758</v>
      </c>
      <c r="G2105" s="8">
        <v>24</v>
      </c>
      <c r="H2105" s="7">
        <f t="shared" si="372"/>
        <v>0</v>
      </c>
      <c r="I2105" s="7"/>
      <c r="J2105" s="7">
        <v>1248</v>
      </c>
      <c r="K2105" s="7"/>
      <c r="L2105" s="7"/>
      <c r="M2105" s="7">
        <v>218</v>
      </c>
      <c r="N2105" s="7"/>
      <c r="O2105" s="7"/>
      <c r="P2105" s="7"/>
      <c r="Q2105" s="7"/>
      <c r="R2105" s="7"/>
      <c r="S2105" s="9">
        <f t="shared" si="369"/>
        <v>1752</v>
      </c>
      <c r="T2105" s="10">
        <f t="shared" si="370"/>
        <v>0</v>
      </c>
      <c r="U2105" s="10"/>
    </row>
    <row r="2106" spans="1:21">
      <c r="A2106" s="6"/>
      <c r="B2106" s="11" t="s">
        <v>94</v>
      </c>
      <c r="C2106" s="7" t="s">
        <v>41</v>
      </c>
      <c r="D2106" s="7"/>
      <c r="E2106" s="7"/>
      <c r="F2106" s="7">
        <f t="shared" si="371"/>
        <v>0</v>
      </c>
      <c r="G2106" s="8"/>
      <c r="H2106" s="7">
        <f t="shared" si="372"/>
        <v>0</v>
      </c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9">
        <f t="shared" si="369"/>
        <v>0</v>
      </c>
      <c r="T2106" s="10">
        <f t="shared" si="370"/>
        <v>0</v>
      </c>
      <c r="U2106" s="10"/>
    </row>
    <row r="2107" spans="1:21">
      <c r="A2107" s="6"/>
      <c r="B2107" s="11" t="s">
        <v>95</v>
      </c>
      <c r="C2107" s="7" t="s">
        <v>41</v>
      </c>
      <c r="D2107" s="7"/>
      <c r="E2107" s="7"/>
      <c r="F2107" s="7">
        <f t="shared" si="371"/>
        <v>39</v>
      </c>
      <c r="G2107" s="8"/>
      <c r="H2107" s="7">
        <f t="shared" si="372"/>
        <v>0</v>
      </c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9">
        <f t="shared" si="369"/>
        <v>39</v>
      </c>
      <c r="T2107" s="10">
        <f t="shared" si="370"/>
        <v>0</v>
      </c>
      <c r="U2107" s="10"/>
    </row>
    <row r="2108" spans="1:21">
      <c r="A2108" s="6"/>
      <c r="B2108" s="11" t="s">
        <v>96</v>
      </c>
      <c r="C2108" s="7" t="s">
        <v>41</v>
      </c>
      <c r="D2108" s="7"/>
      <c r="E2108" s="7"/>
      <c r="F2108" s="7">
        <f t="shared" si="371"/>
        <v>0</v>
      </c>
      <c r="G2108" s="8"/>
      <c r="H2108" s="7">
        <f t="shared" si="372"/>
        <v>0</v>
      </c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9">
        <f t="shared" si="369"/>
        <v>0</v>
      </c>
      <c r="T2108" s="10">
        <f t="shared" si="370"/>
        <v>0</v>
      </c>
      <c r="U2108" s="10"/>
    </row>
    <row r="2109" spans="1:21">
      <c r="A2109" s="6"/>
      <c r="B2109" s="11" t="s">
        <v>97</v>
      </c>
      <c r="C2109" s="7" t="s">
        <v>41</v>
      </c>
      <c r="D2109" s="7"/>
      <c r="E2109" s="7"/>
      <c r="F2109" s="7">
        <f t="shared" si="371"/>
        <v>0</v>
      </c>
      <c r="G2109" s="8"/>
      <c r="H2109" s="7">
        <f t="shared" si="372"/>
        <v>0</v>
      </c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9">
        <f t="shared" si="369"/>
        <v>0</v>
      </c>
      <c r="T2109" s="10">
        <f t="shared" si="370"/>
        <v>0</v>
      </c>
      <c r="U2109" s="10"/>
    </row>
    <row r="2110" spans="1:21">
      <c r="A2110" s="6"/>
      <c r="B2110" s="11" t="s">
        <v>98</v>
      </c>
      <c r="C2110" s="7" t="s">
        <v>26</v>
      </c>
      <c r="D2110" s="7"/>
      <c r="E2110" s="7"/>
      <c r="F2110" s="7">
        <f t="shared" si="371"/>
        <v>1487</v>
      </c>
      <c r="G2110" s="8"/>
      <c r="H2110" s="7">
        <f t="shared" si="372"/>
        <v>0</v>
      </c>
      <c r="I2110" s="7"/>
      <c r="J2110" s="7">
        <v>120</v>
      </c>
      <c r="K2110" s="7"/>
      <c r="L2110" s="7"/>
      <c r="M2110" s="7"/>
      <c r="N2110" s="7"/>
      <c r="O2110" s="7"/>
      <c r="P2110" s="7"/>
      <c r="Q2110" s="7"/>
      <c r="R2110" s="7"/>
      <c r="S2110" s="9">
        <f t="shared" si="369"/>
        <v>1367</v>
      </c>
      <c r="T2110" s="10">
        <f t="shared" si="370"/>
        <v>0</v>
      </c>
      <c r="U2110" s="10"/>
    </row>
    <row r="2111" spans="1:21">
      <c r="A2111" s="6"/>
      <c r="B2111" s="11" t="s">
        <v>99</v>
      </c>
      <c r="C2111" s="7" t="s">
        <v>26</v>
      </c>
      <c r="D2111" s="7"/>
      <c r="E2111" s="7"/>
      <c r="F2111" s="7">
        <f t="shared" si="371"/>
        <v>30</v>
      </c>
      <c r="G2111" s="8"/>
      <c r="H2111" s="7">
        <f t="shared" si="372"/>
        <v>0</v>
      </c>
      <c r="I2111" s="7"/>
      <c r="J2111" s="7"/>
      <c r="K2111" s="7"/>
      <c r="L2111" s="7"/>
      <c r="M2111" s="7">
        <v>27</v>
      </c>
      <c r="N2111" s="7"/>
      <c r="O2111" s="7">
        <v>14</v>
      </c>
      <c r="P2111" s="7"/>
      <c r="Q2111" s="7"/>
      <c r="R2111" s="7"/>
      <c r="S2111" s="9">
        <f t="shared" si="369"/>
        <v>71</v>
      </c>
      <c r="T2111" s="10">
        <f t="shared" si="370"/>
        <v>0</v>
      </c>
      <c r="U2111" s="10"/>
    </row>
    <row r="2112" spans="1:21">
      <c r="A2112" s="6"/>
      <c r="B2112" s="11" t="s">
        <v>100</v>
      </c>
      <c r="C2112" s="7" t="s">
        <v>26</v>
      </c>
      <c r="D2112" s="7"/>
      <c r="E2112" s="7"/>
      <c r="F2112" s="7">
        <f t="shared" si="371"/>
        <v>440</v>
      </c>
      <c r="G2112" s="8"/>
      <c r="H2112" s="7">
        <f t="shared" si="372"/>
        <v>0</v>
      </c>
      <c r="I2112" s="7"/>
      <c r="J2112" s="7">
        <v>60</v>
      </c>
      <c r="K2112" s="7">
        <v>59</v>
      </c>
      <c r="L2112" s="7"/>
      <c r="M2112" s="7"/>
      <c r="N2112" s="7"/>
      <c r="O2112" s="7"/>
      <c r="P2112" s="7"/>
      <c r="Q2112" s="7"/>
      <c r="R2112" s="7"/>
      <c r="S2112" s="9">
        <f t="shared" si="369"/>
        <v>321</v>
      </c>
      <c r="T2112" s="10">
        <f t="shared" si="370"/>
        <v>0</v>
      </c>
      <c r="U2112" s="10"/>
    </row>
    <row r="2113" ht="14" customHeight="1" spans="1:25">
      <c r="A2113" s="6"/>
      <c r="B2113" s="11" t="s">
        <v>101</v>
      </c>
      <c r="C2113" s="7" t="s">
        <v>26</v>
      </c>
      <c r="D2113" s="7"/>
      <c r="E2113" s="7"/>
      <c r="F2113" s="7">
        <f t="shared" si="371"/>
        <v>120</v>
      </c>
      <c r="G2113" s="8"/>
      <c r="H2113" s="7">
        <f t="shared" si="372"/>
        <v>0</v>
      </c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9">
        <f t="shared" si="369"/>
        <v>120</v>
      </c>
      <c r="T2113" s="10">
        <f t="shared" si="370"/>
        <v>0</v>
      </c>
      <c r="U2113" s="10"/>
    </row>
    <row r="2114" spans="1:25">
      <c r="A2114" s="6"/>
      <c r="B2114" s="11" t="s">
        <v>102</v>
      </c>
      <c r="C2114" s="7" t="s">
        <v>26</v>
      </c>
      <c r="D2114" s="7"/>
      <c r="E2114" s="7"/>
      <c r="F2114" s="7">
        <f t="shared" si="371"/>
        <v>746</v>
      </c>
      <c r="G2114" s="8"/>
      <c r="H2114" s="7">
        <f t="shared" si="372"/>
        <v>0</v>
      </c>
      <c r="I2114" s="7"/>
      <c r="J2114" s="7">
        <v>60</v>
      </c>
      <c r="K2114" s="7">
        <v>30</v>
      </c>
      <c r="L2114" s="7"/>
      <c r="M2114" s="7"/>
      <c r="N2114" s="7"/>
      <c r="O2114" s="7"/>
      <c r="P2114" s="7"/>
      <c r="Q2114" s="7"/>
      <c r="R2114" s="7"/>
      <c r="S2114" s="9">
        <f t="shared" si="369"/>
        <v>656</v>
      </c>
      <c r="T2114" s="10">
        <f t="shared" si="370"/>
        <v>0</v>
      </c>
      <c r="U2114" s="10"/>
    </row>
    <row r="2115" spans="1:25">
      <c r="A2115" s="6"/>
      <c r="B2115" s="11" t="s">
        <v>103</v>
      </c>
      <c r="C2115" s="7" t="s">
        <v>26</v>
      </c>
      <c r="D2115" s="7"/>
      <c r="E2115" s="7"/>
      <c r="F2115" s="7">
        <f t="shared" si="371"/>
        <v>557</v>
      </c>
      <c r="G2115" s="8"/>
      <c r="H2115" s="7">
        <f t="shared" si="372"/>
        <v>0</v>
      </c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9">
        <f t="shared" si="369"/>
        <v>557</v>
      </c>
      <c r="T2115" s="10">
        <f t="shared" si="370"/>
        <v>0</v>
      </c>
      <c r="U2115" s="10"/>
    </row>
    <row r="2116" spans="1:25">
      <c r="A2116" s="6"/>
      <c r="B2116" s="11" t="s">
        <v>112</v>
      </c>
      <c r="C2116" s="7" t="s">
        <v>113</v>
      </c>
      <c r="D2116" s="7"/>
      <c r="E2116" s="7"/>
      <c r="F2116" s="7">
        <f t="shared" si="371"/>
        <v>1000</v>
      </c>
      <c r="G2116" s="8"/>
      <c r="H2116" s="7">
        <f t="shared" si="372"/>
        <v>0</v>
      </c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9">
        <f t="shared" si="369"/>
        <v>1000</v>
      </c>
      <c r="T2116" s="10">
        <f t="shared" si="370"/>
        <v>0</v>
      </c>
      <c r="U2116" s="10"/>
    </row>
    <row r="2117" spans="1:25">
      <c r="A2117" s="6"/>
      <c r="B2117" s="11"/>
      <c r="C2117" s="7"/>
      <c r="D2117" s="7"/>
      <c r="E2117" s="7"/>
      <c r="F2117" s="7">
        <f t="shared" si="371"/>
        <v>0</v>
      </c>
      <c r="G2117" s="8"/>
      <c r="H2117" s="7">
        <f t="shared" si="372"/>
        <v>0</v>
      </c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9">
        <f t="shared" si="369"/>
        <v>0</v>
      </c>
      <c r="T2117" s="10">
        <f t="shared" si="370"/>
        <v>0</v>
      </c>
      <c r="U2117" s="10"/>
    </row>
    <row r="2118" spans="1:25">
      <c r="A2118" s="6"/>
      <c r="B2118" s="11"/>
      <c r="C2118" s="7"/>
      <c r="D2118" s="7"/>
      <c r="E2118" s="7"/>
      <c r="F2118" s="7">
        <f t="shared" si="371"/>
        <v>0</v>
      </c>
      <c r="G2118" s="8"/>
      <c r="H2118" s="7">
        <f t="shared" si="372"/>
        <v>0</v>
      </c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9">
        <f t="shared" si="369"/>
        <v>0</v>
      </c>
      <c r="T2118" s="10">
        <f t="shared" si="370"/>
        <v>0</v>
      </c>
      <c r="U2118" s="10"/>
    </row>
    <row r="2119" spans="1:25">
      <c r="A2119" s="6"/>
      <c r="B2119" s="11"/>
      <c r="C2119" s="7"/>
      <c r="D2119" s="7"/>
      <c r="E2119" s="7"/>
      <c r="F2119" s="7">
        <f t="shared" si="371"/>
        <v>0</v>
      </c>
      <c r="G2119" s="8"/>
      <c r="H2119" s="7">
        <f t="shared" si="372"/>
        <v>0</v>
      </c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9">
        <f t="shared" si="369"/>
        <v>0</v>
      </c>
      <c r="T2119" s="10">
        <f t="shared" si="370"/>
        <v>0</v>
      </c>
      <c r="U2119" s="10"/>
    </row>
    <row r="2120" spans="1:25">
      <c r="A2120" s="6"/>
      <c r="B2120" s="11"/>
      <c r="C2120" s="7"/>
      <c r="D2120" s="7"/>
      <c r="E2120" s="7"/>
      <c r="F2120" s="7">
        <f t="shared" si="371"/>
        <v>0</v>
      </c>
      <c r="G2120" s="8"/>
      <c r="H2120" s="7">
        <f t="shared" si="372"/>
        <v>0</v>
      </c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9">
        <f t="shared" si="369"/>
        <v>0</v>
      </c>
      <c r="T2120" s="10">
        <f t="shared" si="370"/>
        <v>0</v>
      </c>
      <c r="U2120" s="10"/>
    </row>
    <row r="2121" spans="1:25">
      <c r="A2121" s="6"/>
      <c r="B2121" s="11"/>
      <c r="C2121" s="7"/>
      <c r="D2121" s="7"/>
      <c r="E2121" s="7"/>
      <c r="F2121" s="7">
        <f t="shared" si="371"/>
        <v>0</v>
      </c>
      <c r="G2121" s="8"/>
      <c r="H2121" s="7">
        <f t="shared" si="372"/>
        <v>0</v>
      </c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9">
        <f t="shared" si="369"/>
        <v>0</v>
      </c>
      <c r="T2121" s="10">
        <f t="shared" si="370"/>
        <v>0</v>
      </c>
      <c r="U2121" s="10"/>
    </row>
    <row r="2122" spans="1:25">
      <c r="A2122" s="6"/>
      <c r="B2122" s="11"/>
      <c r="C2122" s="7"/>
      <c r="D2122" s="7"/>
      <c r="E2122" s="7"/>
      <c r="F2122" s="7">
        <f t="shared" si="371"/>
        <v>0</v>
      </c>
      <c r="G2122" s="8"/>
      <c r="H2122" s="7">
        <f t="shared" si="372"/>
        <v>0</v>
      </c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9">
        <f t="shared" si="369"/>
        <v>0</v>
      </c>
      <c r="T2122" s="10">
        <f t="shared" si="370"/>
        <v>0</v>
      </c>
      <c r="U2122" s="10"/>
    </row>
    <row r="2123" spans="1:25">
      <c r="A2123" s="6"/>
      <c r="B2123" s="11"/>
      <c r="C2123" s="7"/>
      <c r="D2123" s="7"/>
      <c r="E2123" s="7"/>
      <c r="F2123" s="7">
        <f t="shared" si="371"/>
        <v>0</v>
      </c>
      <c r="G2123" s="8"/>
      <c r="H2123" s="7">
        <f t="shared" si="372"/>
        <v>0</v>
      </c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9">
        <f t="shared" si="369"/>
        <v>0</v>
      </c>
      <c r="T2123" s="10">
        <f t="shared" si="370"/>
        <v>0</v>
      </c>
      <c r="U2123" s="10"/>
    </row>
    <row r="2124" spans="1:25">
      <c r="A2124" s="6"/>
      <c r="B2124" s="11"/>
      <c r="C2124" s="7"/>
      <c r="D2124" s="7"/>
      <c r="E2124" s="7"/>
      <c r="F2124" s="7">
        <f t="shared" si="371"/>
        <v>0</v>
      </c>
      <c r="G2124" s="8"/>
      <c r="H2124" s="7">
        <f t="shared" si="372"/>
        <v>0</v>
      </c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9">
        <f t="shared" si="369"/>
        <v>0</v>
      </c>
      <c r="T2124" s="10">
        <f t="shared" si="370"/>
        <v>0</v>
      </c>
      <c r="U2124" s="10"/>
    </row>
    <row r="2125" spans="1:25">
      <c r="A2125" s="6"/>
      <c r="B2125" s="11"/>
      <c r="C2125" s="7"/>
      <c r="D2125" s="7"/>
      <c r="E2125" s="7"/>
      <c r="F2125" s="7">
        <f t="shared" si="371"/>
        <v>0</v>
      </c>
      <c r="G2125" s="8"/>
      <c r="H2125" s="7">
        <f t="shared" si="372"/>
        <v>0</v>
      </c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9">
        <f t="shared" si="369"/>
        <v>0</v>
      </c>
      <c r="T2125" s="10">
        <f t="shared" si="370"/>
        <v>0</v>
      </c>
      <c r="U2125" s="10"/>
    </row>
    <row r="2126" spans="1:25">
      <c r="A2126" s="6"/>
      <c r="B2126" s="11"/>
      <c r="C2126" s="7"/>
      <c r="D2126" s="7"/>
      <c r="E2126" s="7"/>
      <c r="F2126" s="7">
        <f t="shared" si="371"/>
        <v>0</v>
      </c>
      <c r="G2126" s="8"/>
      <c r="H2126" s="7">
        <f t="shared" si="372"/>
        <v>0</v>
      </c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9">
        <f t="shared" si="369"/>
        <v>0</v>
      </c>
      <c r="T2126" s="10">
        <f t="shared" si="370"/>
        <v>0</v>
      </c>
      <c r="U2126" s="10"/>
      <c r="V2126">
        <f>X2126*0.1</f>
        <v>0</v>
      </c>
      <c r="W2126">
        <f>E2126*S2126*1.5</f>
        <v>0</v>
      </c>
      <c r="X2126">
        <f>J2126+K2126</f>
        <v>0</v>
      </c>
      <c r="Y2126">
        <f>X2126*0.13</f>
        <v>0</v>
      </c>
    </row>
    <row r="2127" spans="1:25">
      <c r="A2127" s="6">
        <v>46168</v>
      </c>
      <c r="B2127" t="s">
        <v>25</v>
      </c>
      <c r="C2127" s="7" t="s">
        <v>26</v>
      </c>
      <c r="D2127" s="7"/>
      <c r="E2127" s="7"/>
      <c r="F2127" s="7">
        <f t="shared" si="371"/>
        <v>1419</v>
      </c>
      <c r="G2127" s="8"/>
      <c r="H2127" s="7">
        <f t="shared" si="372"/>
        <v>0</v>
      </c>
      <c r="I2127" s="7"/>
      <c r="J2127" s="7">
        <v>240</v>
      </c>
      <c r="K2127" s="7">
        <v>120</v>
      </c>
      <c r="L2127" s="7"/>
      <c r="M2127" s="7"/>
      <c r="N2127" s="7"/>
      <c r="O2127" s="7"/>
      <c r="P2127" s="7"/>
      <c r="Q2127" s="7"/>
      <c r="R2127" s="7"/>
      <c r="S2127" s="9">
        <f t="shared" si="369"/>
        <v>1059</v>
      </c>
      <c r="T2127" s="10">
        <f t="shared" si="370"/>
        <v>0</v>
      </c>
      <c r="U2127" s="10"/>
      <c r="V2127">
        <f t="shared" ref="V2127:V2133" si="373">X2127*0.1</f>
        <v>36</v>
      </c>
      <c r="W2127">
        <f t="shared" ref="W2127:W2133" si="374">E2127*S2127*1.5</f>
        <v>0</v>
      </c>
      <c r="X2127">
        <f t="shared" ref="X2127:X2133" si="375">J2127+K2127</f>
        <v>360</v>
      </c>
      <c r="Y2127">
        <f t="shared" ref="Y2127:Y2133" si="376">X2127*0.13</f>
        <v>46.8</v>
      </c>
    </row>
    <row r="2128" spans="1:25">
      <c r="A2128" s="6"/>
      <c r="B2128" t="s">
        <v>27</v>
      </c>
      <c r="C2128" s="7" t="s">
        <v>26</v>
      </c>
      <c r="D2128" s="7"/>
      <c r="E2128" s="7"/>
      <c r="F2128" s="7">
        <f t="shared" si="371"/>
        <v>865</v>
      </c>
      <c r="G2128" s="8"/>
      <c r="H2128" s="7">
        <f t="shared" si="372"/>
        <v>0</v>
      </c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9">
        <f t="shared" si="369"/>
        <v>865</v>
      </c>
      <c r="T2128" s="10">
        <f t="shared" si="370"/>
        <v>0</v>
      </c>
      <c r="U2128" s="10"/>
      <c r="V2128">
        <f t="shared" si="373"/>
        <v>0</v>
      </c>
      <c r="W2128">
        <f t="shared" si="374"/>
        <v>0</v>
      </c>
      <c r="X2128">
        <f t="shared" si="375"/>
        <v>0</v>
      </c>
      <c r="Y2128">
        <f t="shared" si="376"/>
        <v>0</v>
      </c>
    </row>
    <row r="2129" spans="1:25">
      <c r="A2129" s="6"/>
      <c r="B2129" s="6" t="s">
        <v>28</v>
      </c>
      <c r="C2129" s="7" t="s">
        <v>26</v>
      </c>
      <c r="D2129" s="7"/>
      <c r="E2129" s="7"/>
      <c r="F2129" s="7">
        <f t="shared" si="371"/>
        <v>1027</v>
      </c>
      <c r="G2129" s="8"/>
      <c r="H2129" s="7">
        <f t="shared" si="372"/>
        <v>0</v>
      </c>
      <c r="I2129" s="7"/>
      <c r="J2129" s="7">
        <v>240</v>
      </c>
      <c r="K2129" s="7"/>
      <c r="L2129" s="7"/>
      <c r="M2129" s="7"/>
      <c r="N2129" s="7"/>
      <c r="O2129" s="7"/>
      <c r="P2129" s="7"/>
      <c r="Q2129" s="7"/>
      <c r="R2129" s="7"/>
      <c r="S2129" s="9">
        <f t="shared" si="369"/>
        <v>787</v>
      </c>
      <c r="T2129" s="10">
        <f t="shared" si="370"/>
        <v>0</v>
      </c>
      <c r="U2129" s="10"/>
      <c r="V2129">
        <f t="shared" si="373"/>
        <v>24</v>
      </c>
      <c r="W2129">
        <f t="shared" si="374"/>
        <v>0</v>
      </c>
      <c r="X2129">
        <f t="shared" si="375"/>
        <v>240</v>
      </c>
      <c r="Y2129">
        <f t="shared" si="376"/>
        <v>31.2</v>
      </c>
    </row>
    <row r="2130" spans="1:25">
      <c r="A2130" s="6"/>
      <c r="B2130" s="6" t="s">
        <v>29</v>
      </c>
      <c r="C2130" s="7" t="s">
        <v>26</v>
      </c>
      <c r="D2130" s="7"/>
      <c r="E2130" s="7"/>
      <c r="F2130" s="7">
        <f t="shared" si="371"/>
        <v>362</v>
      </c>
      <c r="G2130" s="8"/>
      <c r="H2130" s="7">
        <f t="shared" si="372"/>
        <v>0</v>
      </c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9">
        <f t="shared" si="369"/>
        <v>362</v>
      </c>
      <c r="T2130" s="10">
        <f t="shared" si="370"/>
        <v>0</v>
      </c>
      <c r="U2130" s="10"/>
      <c r="V2130">
        <f t="shared" si="373"/>
        <v>0</v>
      </c>
      <c r="W2130">
        <f t="shared" si="374"/>
        <v>0</v>
      </c>
      <c r="X2130">
        <f t="shared" si="375"/>
        <v>0</v>
      </c>
      <c r="Y2130">
        <f t="shared" si="376"/>
        <v>0</v>
      </c>
    </row>
    <row r="2131" spans="1:25">
      <c r="A2131" s="6"/>
      <c r="B2131" s="6" t="s">
        <v>30</v>
      </c>
      <c r="C2131" s="7" t="s">
        <v>26</v>
      </c>
      <c r="D2131" s="7"/>
      <c r="E2131" s="7"/>
      <c r="F2131" s="7">
        <f t="shared" si="371"/>
        <v>784</v>
      </c>
      <c r="G2131" s="8"/>
      <c r="H2131" s="7">
        <f t="shared" si="372"/>
        <v>0</v>
      </c>
      <c r="I2131" s="7"/>
      <c r="J2131" s="7">
        <v>240</v>
      </c>
      <c r="K2131" s="7">
        <v>120</v>
      </c>
      <c r="L2131" s="7"/>
      <c r="M2131" s="7"/>
      <c r="N2131" s="7"/>
      <c r="O2131" s="7"/>
      <c r="P2131" s="7"/>
      <c r="Q2131" s="7"/>
      <c r="R2131" s="7"/>
      <c r="S2131" s="9">
        <f t="shared" si="369"/>
        <v>424</v>
      </c>
      <c r="T2131" s="10">
        <f t="shared" si="370"/>
        <v>0</v>
      </c>
      <c r="U2131" s="10"/>
      <c r="V2131">
        <f t="shared" si="373"/>
        <v>36</v>
      </c>
      <c r="W2131">
        <f t="shared" si="374"/>
        <v>0</v>
      </c>
      <c r="X2131">
        <f t="shared" si="375"/>
        <v>360</v>
      </c>
      <c r="Y2131">
        <f t="shared" si="376"/>
        <v>46.8</v>
      </c>
    </row>
    <row r="2132" spans="1:25">
      <c r="A2132" s="6"/>
      <c r="B2132" s="6" t="s">
        <v>31</v>
      </c>
      <c r="C2132" s="7" t="s">
        <v>26</v>
      </c>
      <c r="D2132" s="7"/>
      <c r="E2132" s="7"/>
      <c r="F2132" s="7">
        <f t="shared" si="371"/>
        <v>1759</v>
      </c>
      <c r="G2132" s="8"/>
      <c r="H2132" s="7">
        <f t="shared" si="372"/>
        <v>0</v>
      </c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9">
        <f t="shared" si="369"/>
        <v>1759</v>
      </c>
      <c r="T2132" s="10">
        <f t="shared" si="370"/>
        <v>0</v>
      </c>
      <c r="U2132" s="10"/>
      <c r="V2132">
        <f t="shared" si="373"/>
        <v>0</v>
      </c>
      <c r="W2132">
        <f t="shared" si="374"/>
        <v>0</v>
      </c>
      <c r="X2132">
        <f t="shared" si="375"/>
        <v>0</v>
      </c>
      <c r="Y2132">
        <f t="shared" si="376"/>
        <v>0</v>
      </c>
    </row>
    <row r="2133" spans="1:25">
      <c r="A2133" s="6"/>
      <c r="B2133" s="6" t="s">
        <v>32</v>
      </c>
      <c r="C2133" s="7" t="s">
        <v>26</v>
      </c>
      <c r="D2133" s="7"/>
      <c r="E2133" s="7"/>
      <c r="F2133" s="7">
        <f t="shared" si="371"/>
        <v>1538</v>
      </c>
      <c r="G2133" s="8"/>
      <c r="H2133" s="7">
        <f t="shared" si="372"/>
        <v>0</v>
      </c>
      <c r="I2133" s="7"/>
      <c r="J2133" s="7">
        <v>120</v>
      </c>
      <c r="K2133" s="7"/>
      <c r="L2133" s="7"/>
      <c r="M2133" s="7"/>
      <c r="N2133" s="7"/>
      <c r="O2133" s="7"/>
      <c r="P2133" s="7"/>
      <c r="Q2133" s="7"/>
      <c r="R2133" s="7"/>
      <c r="S2133" s="9">
        <f t="shared" si="369"/>
        <v>1418</v>
      </c>
      <c r="T2133" s="10">
        <f t="shared" si="370"/>
        <v>0</v>
      </c>
      <c r="U2133" s="10"/>
      <c r="V2133">
        <f t="shared" si="373"/>
        <v>12</v>
      </c>
      <c r="W2133">
        <f t="shared" si="374"/>
        <v>0</v>
      </c>
      <c r="X2133">
        <f t="shared" si="375"/>
        <v>120</v>
      </c>
      <c r="Y2133">
        <f t="shared" si="376"/>
        <v>15.6</v>
      </c>
    </row>
    <row r="2134" spans="1:25">
      <c r="A2134" s="6"/>
      <c r="B2134" s="6" t="s">
        <v>33</v>
      </c>
      <c r="C2134" s="7" t="s">
        <v>26</v>
      </c>
      <c r="D2134" s="7"/>
      <c r="E2134" s="7"/>
      <c r="F2134" s="7">
        <f t="shared" si="371"/>
        <v>1777</v>
      </c>
      <c r="G2134" s="8"/>
      <c r="H2134" s="7">
        <f t="shared" si="372"/>
        <v>0</v>
      </c>
      <c r="I2134" s="7"/>
      <c r="J2134" s="7"/>
      <c r="K2134" s="7"/>
      <c r="L2134" s="7"/>
      <c r="M2134" s="7">
        <v>48</v>
      </c>
      <c r="N2134" s="7"/>
      <c r="O2134" s="7"/>
      <c r="P2134" s="7"/>
      <c r="Q2134" s="7"/>
      <c r="R2134" s="7"/>
      <c r="S2134" s="9">
        <f t="shared" si="369"/>
        <v>1825</v>
      </c>
      <c r="T2134" s="10">
        <f t="shared" si="370"/>
        <v>0</v>
      </c>
      <c r="U2134" s="10"/>
    </row>
    <row r="2135" spans="1:25">
      <c r="A2135" s="6"/>
      <c r="B2135" s="11" t="s">
        <v>34</v>
      </c>
      <c r="C2135" s="7" t="s">
        <v>26</v>
      </c>
      <c r="D2135" s="7"/>
      <c r="E2135" s="7"/>
      <c r="F2135" s="7">
        <f t="shared" si="371"/>
        <v>17</v>
      </c>
      <c r="G2135" s="8"/>
      <c r="H2135" s="7">
        <f t="shared" si="372"/>
        <v>0</v>
      </c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9">
        <f t="shared" si="369"/>
        <v>17</v>
      </c>
      <c r="T2135" s="10">
        <f t="shared" si="370"/>
        <v>0</v>
      </c>
      <c r="U2135" s="10"/>
    </row>
    <row r="2136" spans="1:25">
      <c r="A2136" s="6"/>
      <c r="B2136" s="11" t="s">
        <v>35</v>
      </c>
      <c r="C2136" s="7" t="s">
        <v>26</v>
      </c>
      <c r="D2136" s="7"/>
      <c r="E2136" s="7"/>
      <c r="F2136" s="7">
        <f t="shared" si="371"/>
        <v>120</v>
      </c>
      <c r="G2136" s="8"/>
      <c r="H2136" s="7">
        <f t="shared" si="372"/>
        <v>0</v>
      </c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9">
        <f t="shared" si="369"/>
        <v>120</v>
      </c>
      <c r="T2136" s="10">
        <f t="shared" si="370"/>
        <v>0</v>
      </c>
      <c r="U2136" s="10"/>
    </row>
    <row r="2137" spans="1:25">
      <c r="A2137" s="6"/>
      <c r="B2137" s="11" t="s">
        <v>36</v>
      </c>
      <c r="C2137" s="7" t="s">
        <v>26</v>
      </c>
      <c r="D2137" s="7"/>
      <c r="E2137" s="7"/>
      <c r="F2137" s="7">
        <f t="shared" si="371"/>
        <v>6386</v>
      </c>
      <c r="G2137" s="8"/>
      <c r="H2137" s="7">
        <f t="shared" si="372"/>
        <v>0</v>
      </c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9">
        <f t="shared" si="369"/>
        <v>6386</v>
      </c>
      <c r="T2137" s="10">
        <f t="shared" si="370"/>
        <v>0</v>
      </c>
      <c r="U2137" s="10"/>
    </row>
    <row r="2138" spans="1:25">
      <c r="A2138" s="6"/>
      <c r="B2138" s="11" t="s">
        <v>37</v>
      </c>
      <c r="C2138" s="7" t="s">
        <v>26</v>
      </c>
      <c r="D2138" s="7"/>
      <c r="E2138" s="7"/>
      <c r="F2138" s="7">
        <f t="shared" si="371"/>
        <v>1653</v>
      </c>
      <c r="G2138" s="8"/>
      <c r="H2138" s="7">
        <f t="shared" si="372"/>
        <v>0</v>
      </c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9">
        <f t="shared" si="369"/>
        <v>1653</v>
      </c>
      <c r="T2138" s="10">
        <f t="shared" si="370"/>
        <v>0</v>
      </c>
      <c r="U2138" s="10"/>
    </row>
    <row r="2139" spans="1:25">
      <c r="A2139" s="6"/>
      <c r="B2139" s="11" t="s">
        <v>38</v>
      </c>
      <c r="C2139" s="7" t="s">
        <v>26</v>
      </c>
      <c r="D2139" s="7"/>
      <c r="E2139" s="7"/>
      <c r="F2139" s="7">
        <f t="shared" si="371"/>
        <v>0</v>
      </c>
      <c r="G2139" s="8"/>
      <c r="H2139" s="7">
        <f t="shared" si="372"/>
        <v>0</v>
      </c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9">
        <f t="shared" ref="S2139:S2202" si="377">F2139+G2139-J2139-K2139-L2139+M2139+O2139-P2139-R2139</f>
        <v>0</v>
      </c>
      <c r="T2139" s="10">
        <f t="shared" ref="T2139:T2202" si="378">H2139+I2139+N2139+R2139-Q2139</f>
        <v>0</v>
      </c>
      <c r="U2139" s="10"/>
    </row>
    <row r="2140" spans="1:25">
      <c r="A2140" s="6"/>
      <c r="B2140" s="11" t="s">
        <v>39</v>
      </c>
      <c r="C2140" s="7" t="s">
        <v>26</v>
      </c>
      <c r="D2140" s="7"/>
      <c r="E2140" s="7"/>
      <c r="F2140" s="7">
        <f t="shared" si="371"/>
        <v>1933</v>
      </c>
      <c r="G2140" s="8"/>
      <c r="H2140" s="7">
        <f t="shared" si="372"/>
        <v>0</v>
      </c>
      <c r="I2140" s="7"/>
      <c r="J2140" s="7"/>
      <c r="K2140" s="7"/>
      <c r="L2140" s="7"/>
      <c r="M2140" s="7">
        <v>40</v>
      </c>
      <c r="N2140" s="7"/>
      <c r="O2140" s="7"/>
      <c r="P2140" s="7"/>
      <c r="Q2140" s="7"/>
      <c r="R2140" s="7"/>
      <c r="S2140" s="9">
        <f t="shared" si="377"/>
        <v>1973</v>
      </c>
      <c r="T2140" s="10">
        <f t="shared" si="378"/>
        <v>0</v>
      </c>
      <c r="U2140" s="10"/>
    </row>
    <row r="2141" spans="1:25">
      <c r="A2141" s="6"/>
      <c r="B2141" s="11" t="s">
        <v>40</v>
      </c>
      <c r="C2141" s="7" t="s">
        <v>41</v>
      </c>
      <c r="D2141" s="7"/>
      <c r="E2141" s="7"/>
      <c r="F2141" s="7">
        <f t="shared" si="371"/>
        <v>0</v>
      </c>
      <c r="G2141" s="8"/>
      <c r="H2141" s="7">
        <f t="shared" si="372"/>
        <v>0</v>
      </c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9">
        <f t="shared" si="377"/>
        <v>0</v>
      </c>
      <c r="T2141" s="10">
        <f t="shared" si="378"/>
        <v>0</v>
      </c>
      <c r="U2141" s="10"/>
    </row>
    <row r="2142" spans="1:25">
      <c r="A2142" s="6"/>
      <c r="B2142" s="11" t="s">
        <v>42</v>
      </c>
      <c r="C2142" s="7" t="s">
        <v>41</v>
      </c>
      <c r="D2142" s="7"/>
      <c r="E2142" s="7"/>
      <c r="F2142" s="7">
        <f t="shared" si="371"/>
        <v>53</v>
      </c>
      <c r="G2142" s="8"/>
      <c r="H2142" s="7">
        <f t="shared" si="372"/>
        <v>0</v>
      </c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9">
        <f t="shared" si="377"/>
        <v>53</v>
      </c>
      <c r="T2142" s="10">
        <f t="shared" si="378"/>
        <v>0</v>
      </c>
      <c r="U2142" s="10"/>
    </row>
    <row r="2143" spans="1:25">
      <c r="A2143" s="6"/>
      <c r="B2143" s="11" t="s">
        <v>43</v>
      </c>
      <c r="C2143" s="7" t="s">
        <v>41</v>
      </c>
      <c r="D2143" s="7"/>
      <c r="E2143" s="7"/>
      <c r="F2143" s="7">
        <f t="shared" si="371"/>
        <v>0</v>
      </c>
      <c r="G2143" s="8"/>
      <c r="H2143" s="7">
        <f t="shared" si="372"/>
        <v>0</v>
      </c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9">
        <f t="shared" si="377"/>
        <v>0</v>
      </c>
      <c r="T2143" s="10">
        <f t="shared" si="378"/>
        <v>0</v>
      </c>
      <c r="U2143" s="10"/>
    </row>
    <row r="2144" spans="1:25">
      <c r="A2144" s="6"/>
      <c r="B2144" s="11" t="s">
        <v>44</v>
      </c>
      <c r="C2144" s="7" t="s">
        <v>41</v>
      </c>
      <c r="D2144" s="7"/>
      <c r="E2144" s="7"/>
      <c r="F2144" s="7">
        <f t="shared" si="371"/>
        <v>75</v>
      </c>
      <c r="G2144" s="8"/>
      <c r="H2144" s="7">
        <f t="shared" si="372"/>
        <v>0</v>
      </c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9">
        <f t="shared" si="377"/>
        <v>75</v>
      </c>
      <c r="T2144" s="10">
        <f t="shared" si="378"/>
        <v>0</v>
      </c>
      <c r="U2144" s="10"/>
    </row>
    <row r="2145" spans="1:21">
      <c r="A2145" s="6"/>
      <c r="B2145" s="11" t="s">
        <v>45</v>
      </c>
      <c r="C2145" s="7" t="s">
        <v>41</v>
      </c>
      <c r="D2145" s="7"/>
      <c r="E2145" s="7"/>
      <c r="F2145" s="7">
        <f t="shared" si="371"/>
        <v>0</v>
      </c>
      <c r="G2145" s="8"/>
      <c r="H2145" s="7">
        <f t="shared" si="372"/>
        <v>0</v>
      </c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9">
        <f t="shared" si="377"/>
        <v>0</v>
      </c>
      <c r="T2145" s="10">
        <f t="shared" si="378"/>
        <v>0</v>
      </c>
      <c r="U2145" s="10"/>
    </row>
    <row r="2146" spans="1:21">
      <c r="A2146" s="6"/>
      <c r="B2146" s="11" t="s">
        <v>46</v>
      </c>
      <c r="C2146" s="7" t="s">
        <v>41</v>
      </c>
      <c r="D2146" s="7"/>
      <c r="E2146" s="7"/>
      <c r="F2146" s="7">
        <f t="shared" si="371"/>
        <v>17</v>
      </c>
      <c r="G2146" s="8"/>
      <c r="H2146" s="7">
        <f t="shared" si="372"/>
        <v>0</v>
      </c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9">
        <f t="shared" si="377"/>
        <v>17</v>
      </c>
      <c r="T2146" s="10">
        <f t="shared" si="378"/>
        <v>0</v>
      </c>
      <c r="U2146" s="10"/>
    </row>
    <row r="2147" spans="1:21">
      <c r="A2147" s="6"/>
      <c r="B2147" s="11" t="s">
        <v>47</v>
      </c>
      <c r="C2147" s="7" t="s">
        <v>26</v>
      </c>
      <c r="D2147" s="7"/>
      <c r="E2147" s="7"/>
      <c r="F2147" s="7">
        <f t="shared" si="371"/>
        <v>0</v>
      </c>
      <c r="G2147" s="8"/>
      <c r="H2147" s="7">
        <f t="shared" si="372"/>
        <v>0</v>
      </c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9">
        <f t="shared" si="377"/>
        <v>0</v>
      </c>
      <c r="T2147" s="10">
        <f t="shared" si="378"/>
        <v>0</v>
      </c>
      <c r="U2147" s="10"/>
    </row>
    <row r="2148" spans="1:21">
      <c r="A2148" s="6"/>
      <c r="B2148" s="11" t="s">
        <v>48</v>
      </c>
      <c r="C2148" s="7" t="s">
        <v>26</v>
      </c>
      <c r="D2148" s="7"/>
      <c r="E2148" s="7"/>
      <c r="F2148" s="7">
        <f t="shared" si="371"/>
        <v>45</v>
      </c>
      <c r="G2148" s="8"/>
      <c r="H2148" s="7">
        <f t="shared" si="372"/>
        <v>0</v>
      </c>
      <c r="I2148" s="7"/>
      <c r="J2148" s="7"/>
      <c r="K2148" s="7"/>
      <c r="L2148" s="7"/>
      <c r="M2148" s="7">
        <v>5</v>
      </c>
      <c r="N2148" s="7"/>
      <c r="O2148" s="7"/>
      <c r="P2148" s="7"/>
      <c r="Q2148" s="7"/>
      <c r="R2148" s="7"/>
      <c r="S2148" s="9">
        <f t="shared" si="377"/>
        <v>50</v>
      </c>
      <c r="T2148" s="10">
        <f t="shared" si="378"/>
        <v>0</v>
      </c>
      <c r="U2148" s="10"/>
    </row>
    <row r="2149" spans="1:21">
      <c r="A2149" s="6"/>
      <c r="B2149" s="11" t="s">
        <v>50</v>
      </c>
      <c r="C2149" s="7" t="s">
        <v>26</v>
      </c>
      <c r="D2149" s="7"/>
      <c r="E2149" s="7"/>
      <c r="F2149" s="7">
        <f t="shared" si="371"/>
        <v>0</v>
      </c>
      <c r="G2149" s="8"/>
      <c r="H2149" s="7">
        <f t="shared" si="372"/>
        <v>0</v>
      </c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9">
        <f t="shared" si="377"/>
        <v>0</v>
      </c>
      <c r="T2149" s="10">
        <f t="shared" si="378"/>
        <v>0</v>
      </c>
      <c r="U2149" s="10"/>
    </row>
    <row r="2150" spans="1:21">
      <c r="A2150" s="6"/>
      <c r="B2150" s="11" t="s">
        <v>51</v>
      </c>
      <c r="C2150" s="7" t="s">
        <v>26</v>
      </c>
      <c r="D2150" s="7"/>
      <c r="E2150" s="7"/>
      <c r="F2150" s="7">
        <f t="shared" si="371"/>
        <v>0</v>
      </c>
      <c r="G2150" s="8"/>
      <c r="H2150" s="7">
        <f t="shared" si="372"/>
        <v>0</v>
      </c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9">
        <f t="shared" si="377"/>
        <v>0</v>
      </c>
      <c r="T2150" s="10">
        <f t="shared" si="378"/>
        <v>0</v>
      </c>
      <c r="U2150" s="10"/>
    </row>
    <row r="2151" spans="1:21">
      <c r="A2151" s="6"/>
      <c r="B2151" s="11" t="s">
        <v>52</v>
      </c>
      <c r="C2151" s="7" t="s">
        <v>26</v>
      </c>
      <c r="D2151" s="7"/>
      <c r="E2151" s="7"/>
      <c r="F2151" s="7">
        <f t="shared" si="371"/>
        <v>76</v>
      </c>
      <c r="G2151" s="8"/>
      <c r="H2151" s="7">
        <f t="shared" si="372"/>
        <v>0</v>
      </c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9">
        <f t="shared" si="377"/>
        <v>76</v>
      </c>
      <c r="T2151" s="10">
        <f t="shared" si="378"/>
        <v>0</v>
      </c>
      <c r="U2151" s="10"/>
    </row>
    <row r="2152" spans="1:21">
      <c r="A2152" s="6"/>
      <c r="B2152" s="11" t="s">
        <v>53</v>
      </c>
      <c r="C2152" s="7" t="s">
        <v>54</v>
      </c>
      <c r="D2152" s="7"/>
      <c r="E2152" s="7"/>
      <c r="F2152" s="7">
        <f t="shared" si="371"/>
        <v>0</v>
      </c>
      <c r="G2152" s="8"/>
      <c r="H2152" s="7">
        <f t="shared" si="372"/>
        <v>0</v>
      </c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9">
        <f t="shared" si="377"/>
        <v>0</v>
      </c>
      <c r="T2152" s="10">
        <f t="shared" si="378"/>
        <v>0</v>
      </c>
      <c r="U2152" s="10"/>
    </row>
    <row r="2153" spans="1:21">
      <c r="A2153" s="6"/>
      <c r="B2153" s="11" t="s">
        <v>55</v>
      </c>
      <c r="C2153" s="7" t="s">
        <v>54</v>
      </c>
      <c r="D2153" s="7"/>
      <c r="E2153" s="7"/>
      <c r="F2153" s="7">
        <f t="shared" si="371"/>
        <v>15</v>
      </c>
      <c r="G2153" s="8"/>
      <c r="H2153" s="7">
        <f t="shared" si="372"/>
        <v>0</v>
      </c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9">
        <f t="shared" si="377"/>
        <v>15</v>
      </c>
      <c r="T2153" s="10">
        <f t="shared" si="378"/>
        <v>0</v>
      </c>
      <c r="U2153" s="10"/>
    </row>
    <row r="2154" spans="1:21">
      <c r="A2154" s="6"/>
      <c r="B2154" s="11" t="s">
        <v>56</v>
      </c>
      <c r="C2154" s="7" t="s">
        <v>54</v>
      </c>
      <c r="D2154" s="7"/>
      <c r="E2154" s="7"/>
      <c r="F2154" s="7">
        <f t="shared" si="371"/>
        <v>3479</v>
      </c>
      <c r="G2154" s="8"/>
      <c r="H2154" s="7">
        <f t="shared" si="372"/>
        <v>0</v>
      </c>
      <c r="I2154" s="7"/>
      <c r="J2154" s="7">
        <v>270</v>
      </c>
      <c r="K2154" s="7"/>
      <c r="L2154" s="7"/>
      <c r="M2154" s="7"/>
      <c r="N2154" s="7"/>
      <c r="O2154" s="7"/>
      <c r="P2154" s="7"/>
      <c r="Q2154" s="7"/>
      <c r="R2154" s="7"/>
      <c r="S2154" s="9">
        <f t="shared" si="377"/>
        <v>3209</v>
      </c>
      <c r="T2154" s="10">
        <f t="shared" si="378"/>
        <v>0</v>
      </c>
      <c r="U2154" s="10"/>
    </row>
    <row r="2155" spans="1:21">
      <c r="A2155" s="6"/>
      <c r="B2155" s="11" t="s">
        <v>57</v>
      </c>
      <c r="C2155" s="7" t="s">
        <v>54</v>
      </c>
      <c r="D2155" s="7"/>
      <c r="E2155" s="7"/>
      <c r="F2155" s="7">
        <f t="shared" si="371"/>
        <v>652</v>
      </c>
      <c r="G2155" s="8"/>
      <c r="H2155" s="7">
        <f t="shared" si="372"/>
        <v>0</v>
      </c>
      <c r="I2155" s="7"/>
      <c r="J2155" s="7"/>
      <c r="K2155" s="7"/>
      <c r="L2155" s="7"/>
      <c r="M2155" s="7">
        <v>52</v>
      </c>
      <c r="N2155" s="7"/>
      <c r="O2155" s="7"/>
      <c r="P2155" s="7"/>
      <c r="Q2155" s="7"/>
      <c r="R2155" s="7"/>
      <c r="S2155" s="9">
        <f t="shared" si="377"/>
        <v>704</v>
      </c>
      <c r="T2155" s="10">
        <f t="shared" si="378"/>
        <v>0</v>
      </c>
      <c r="U2155" s="10"/>
    </row>
    <row r="2156" spans="1:21">
      <c r="A2156" s="6"/>
      <c r="B2156" s="11" t="s">
        <v>58</v>
      </c>
      <c r="C2156" s="7" t="s">
        <v>54</v>
      </c>
      <c r="D2156" s="7"/>
      <c r="E2156" s="7"/>
      <c r="F2156" s="7">
        <f t="shared" si="371"/>
        <v>0</v>
      </c>
      <c r="G2156" s="8"/>
      <c r="H2156" s="7">
        <f t="shared" si="372"/>
        <v>0</v>
      </c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9">
        <f t="shared" si="377"/>
        <v>0</v>
      </c>
      <c r="T2156" s="10">
        <f t="shared" si="378"/>
        <v>0</v>
      </c>
      <c r="U2156" s="10"/>
    </row>
    <row r="2157" spans="1:21">
      <c r="A2157" s="6"/>
      <c r="B2157" s="11" t="s">
        <v>59</v>
      </c>
      <c r="C2157" s="7" t="s">
        <v>54</v>
      </c>
      <c r="D2157" s="7"/>
      <c r="E2157" s="7"/>
      <c r="F2157" s="7">
        <f t="shared" si="371"/>
        <v>19</v>
      </c>
      <c r="G2157" s="8"/>
      <c r="H2157" s="7">
        <f t="shared" si="372"/>
        <v>0</v>
      </c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9">
        <f t="shared" si="377"/>
        <v>19</v>
      </c>
      <c r="T2157" s="10">
        <f t="shared" si="378"/>
        <v>0</v>
      </c>
      <c r="U2157" s="10"/>
    </row>
    <row r="2158" spans="1:21">
      <c r="A2158" s="6"/>
      <c r="B2158" s="11" t="s">
        <v>60</v>
      </c>
      <c r="C2158" s="7" t="s">
        <v>61</v>
      </c>
      <c r="D2158" s="7"/>
      <c r="E2158" s="7"/>
      <c r="F2158" s="7">
        <f t="shared" si="371"/>
        <v>0</v>
      </c>
      <c r="G2158" s="8"/>
      <c r="H2158" s="7">
        <f t="shared" si="372"/>
        <v>0</v>
      </c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9">
        <f t="shared" si="377"/>
        <v>0</v>
      </c>
      <c r="T2158" s="10">
        <f t="shared" si="378"/>
        <v>0</v>
      </c>
      <c r="U2158" s="10"/>
    </row>
    <row r="2159" spans="1:21">
      <c r="A2159" s="6"/>
      <c r="B2159" s="11" t="s">
        <v>62</v>
      </c>
      <c r="C2159" s="7" t="s">
        <v>61</v>
      </c>
      <c r="D2159" s="7"/>
      <c r="E2159" s="7"/>
      <c r="F2159" s="7">
        <f t="shared" si="371"/>
        <v>11</v>
      </c>
      <c r="G2159" s="8"/>
      <c r="H2159" s="7">
        <f t="shared" si="372"/>
        <v>0</v>
      </c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9">
        <f t="shared" si="377"/>
        <v>11</v>
      </c>
      <c r="T2159" s="10">
        <f t="shared" si="378"/>
        <v>0</v>
      </c>
      <c r="U2159" s="10"/>
    </row>
    <row r="2160" spans="1:21">
      <c r="A2160" s="6"/>
      <c r="B2160" s="10" t="s">
        <v>63</v>
      </c>
      <c r="C2160" s="10" t="s">
        <v>41</v>
      </c>
      <c r="D2160" s="7"/>
      <c r="E2160" s="7"/>
      <c r="F2160" s="7">
        <f t="shared" si="371"/>
        <v>0</v>
      </c>
      <c r="G2160" s="8"/>
      <c r="H2160" s="7">
        <f t="shared" si="372"/>
        <v>0</v>
      </c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9">
        <f t="shared" si="377"/>
        <v>0</v>
      </c>
      <c r="T2160" s="10">
        <f t="shared" si="378"/>
        <v>0</v>
      </c>
      <c r="U2160" s="10"/>
    </row>
    <row r="2161" spans="1:21">
      <c r="A2161" s="6"/>
      <c r="B2161" s="10" t="s">
        <v>64</v>
      </c>
      <c r="C2161" s="10" t="s">
        <v>41</v>
      </c>
      <c r="D2161" s="7"/>
      <c r="E2161" s="7"/>
      <c r="F2161" s="7">
        <f t="shared" si="371"/>
        <v>5</v>
      </c>
      <c r="G2161" s="8"/>
      <c r="H2161" s="7">
        <f t="shared" si="372"/>
        <v>0</v>
      </c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9">
        <f t="shared" si="377"/>
        <v>5</v>
      </c>
      <c r="T2161" s="10">
        <f t="shared" si="378"/>
        <v>0</v>
      </c>
      <c r="U2161" s="10"/>
    </row>
    <row r="2162" spans="1:21">
      <c r="A2162" s="6"/>
      <c r="B2162" s="11" t="s">
        <v>65</v>
      </c>
      <c r="C2162" s="7" t="s">
        <v>26</v>
      </c>
      <c r="D2162" s="7"/>
      <c r="E2162" s="7"/>
      <c r="F2162" s="7">
        <f t="shared" si="371"/>
        <v>0</v>
      </c>
      <c r="G2162" s="8"/>
      <c r="H2162" s="7">
        <f t="shared" si="372"/>
        <v>0</v>
      </c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9">
        <f t="shared" si="377"/>
        <v>0</v>
      </c>
      <c r="T2162" s="10">
        <f t="shared" si="378"/>
        <v>0</v>
      </c>
      <c r="U2162" s="10"/>
    </row>
    <row r="2163" spans="1:21">
      <c r="A2163" s="6"/>
      <c r="B2163" s="11" t="s">
        <v>66</v>
      </c>
      <c r="C2163" s="7" t="s">
        <v>26</v>
      </c>
      <c r="D2163" s="7"/>
      <c r="E2163" s="7"/>
      <c r="F2163" s="7">
        <f t="shared" ref="F2163:F2222" si="379">S2078</f>
        <v>71</v>
      </c>
      <c r="G2163" s="8"/>
      <c r="H2163" s="7">
        <f t="shared" si="372"/>
        <v>0</v>
      </c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9">
        <f t="shared" si="377"/>
        <v>71</v>
      </c>
      <c r="T2163" s="10">
        <f t="shared" si="378"/>
        <v>0</v>
      </c>
      <c r="U2163" s="10"/>
    </row>
    <row r="2164" spans="1:21">
      <c r="A2164" s="6"/>
      <c r="B2164" s="11" t="s">
        <v>67</v>
      </c>
      <c r="C2164" s="7" t="s">
        <v>26</v>
      </c>
      <c r="D2164" s="7"/>
      <c r="E2164" s="7"/>
      <c r="F2164" s="7">
        <f t="shared" si="379"/>
        <v>0</v>
      </c>
      <c r="G2164" s="8"/>
      <c r="H2164" s="7">
        <f t="shared" ref="H2164:H2223" si="380">T2079</f>
        <v>0</v>
      </c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9">
        <f t="shared" si="377"/>
        <v>0</v>
      </c>
      <c r="T2164" s="10">
        <f t="shared" si="378"/>
        <v>0</v>
      </c>
      <c r="U2164" s="10"/>
    </row>
    <row r="2165" spans="1:21">
      <c r="A2165" s="6"/>
      <c r="B2165" s="11" t="s">
        <v>68</v>
      </c>
      <c r="C2165" s="7" t="s">
        <v>26</v>
      </c>
      <c r="D2165" s="7"/>
      <c r="E2165" s="7"/>
      <c r="F2165" s="7">
        <f t="shared" si="379"/>
        <v>7</v>
      </c>
      <c r="G2165" s="8"/>
      <c r="H2165" s="7">
        <f t="shared" si="380"/>
        <v>0</v>
      </c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9">
        <f t="shared" si="377"/>
        <v>7</v>
      </c>
      <c r="T2165" s="10">
        <f t="shared" si="378"/>
        <v>0</v>
      </c>
      <c r="U2165" s="10"/>
    </row>
    <row r="2166" spans="1:21">
      <c r="A2166" s="6"/>
      <c r="B2166" s="11" t="s">
        <v>69</v>
      </c>
      <c r="C2166" s="7" t="s">
        <v>41</v>
      </c>
      <c r="D2166" s="7"/>
      <c r="E2166" s="7"/>
      <c r="F2166" s="7">
        <f t="shared" si="379"/>
        <v>0</v>
      </c>
      <c r="G2166" s="8"/>
      <c r="H2166" s="7">
        <f t="shared" si="380"/>
        <v>0</v>
      </c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9">
        <f t="shared" si="377"/>
        <v>0</v>
      </c>
      <c r="T2166" s="10">
        <f t="shared" si="378"/>
        <v>0</v>
      </c>
      <c r="U2166" s="10"/>
    </row>
    <row r="2167" spans="1:21">
      <c r="A2167" s="6"/>
      <c r="B2167" s="11" t="s">
        <v>70</v>
      </c>
      <c r="C2167" s="7" t="s">
        <v>41</v>
      </c>
      <c r="D2167" s="7"/>
      <c r="E2167" s="7"/>
      <c r="F2167" s="7">
        <f t="shared" si="379"/>
        <v>13</v>
      </c>
      <c r="G2167" s="8"/>
      <c r="H2167" s="7">
        <f t="shared" si="380"/>
        <v>0</v>
      </c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9">
        <f t="shared" si="377"/>
        <v>13</v>
      </c>
      <c r="T2167" s="10">
        <f t="shared" si="378"/>
        <v>0</v>
      </c>
      <c r="U2167" s="10"/>
    </row>
    <row r="2168" spans="1:21">
      <c r="A2168" s="6"/>
      <c r="B2168" s="11" t="s">
        <v>71</v>
      </c>
      <c r="C2168" s="7" t="s">
        <v>61</v>
      </c>
      <c r="D2168" s="7"/>
      <c r="E2168" s="7"/>
      <c r="F2168" s="7">
        <f t="shared" si="379"/>
        <v>0</v>
      </c>
      <c r="G2168" s="8"/>
      <c r="H2168" s="7">
        <f t="shared" si="380"/>
        <v>0</v>
      </c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9">
        <f t="shared" si="377"/>
        <v>0</v>
      </c>
      <c r="T2168" s="10">
        <f t="shared" si="378"/>
        <v>0</v>
      </c>
      <c r="U2168" s="10"/>
    </row>
    <row r="2169" spans="1:21">
      <c r="A2169" s="6"/>
      <c r="B2169" s="11" t="s">
        <v>72</v>
      </c>
      <c r="C2169" s="7" t="s">
        <v>61</v>
      </c>
      <c r="D2169" s="7"/>
      <c r="E2169" s="7"/>
      <c r="F2169" s="7">
        <f t="shared" si="379"/>
        <v>8</v>
      </c>
      <c r="G2169" s="8"/>
      <c r="H2169" s="7">
        <f t="shared" si="380"/>
        <v>0</v>
      </c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9">
        <f t="shared" si="377"/>
        <v>8</v>
      </c>
      <c r="T2169" s="10">
        <f t="shared" si="378"/>
        <v>0</v>
      </c>
      <c r="U2169" s="10"/>
    </row>
    <row r="2170" spans="1:21">
      <c r="A2170" s="6"/>
      <c r="B2170" s="11" t="s">
        <v>73</v>
      </c>
      <c r="C2170" s="7" t="s">
        <v>26</v>
      </c>
      <c r="D2170" s="7"/>
      <c r="E2170" s="7"/>
      <c r="F2170" s="7">
        <f t="shared" si="379"/>
        <v>0</v>
      </c>
      <c r="G2170" s="8"/>
      <c r="H2170" s="7">
        <f t="shared" si="380"/>
        <v>0</v>
      </c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9">
        <f t="shared" si="377"/>
        <v>0</v>
      </c>
      <c r="T2170" s="10">
        <f t="shared" si="378"/>
        <v>0</v>
      </c>
      <c r="U2170" s="10"/>
    </row>
    <row r="2171" spans="1:21">
      <c r="A2171" s="6"/>
      <c r="B2171" s="11" t="s">
        <v>74</v>
      </c>
      <c r="C2171" s="7" t="s">
        <v>26</v>
      </c>
      <c r="D2171" s="7"/>
      <c r="E2171" s="7"/>
      <c r="F2171" s="7">
        <f t="shared" si="379"/>
        <v>22</v>
      </c>
      <c r="G2171" s="8"/>
      <c r="H2171" s="7">
        <f t="shared" si="380"/>
        <v>0</v>
      </c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9">
        <f t="shared" si="377"/>
        <v>22</v>
      </c>
      <c r="T2171" s="10">
        <f t="shared" si="378"/>
        <v>0</v>
      </c>
      <c r="U2171" s="10"/>
    </row>
    <row r="2172" spans="1:21">
      <c r="A2172" s="6"/>
      <c r="B2172" s="11" t="s">
        <v>75</v>
      </c>
      <c r="C2172" s="7" t="s">
        <v>26</v>
      </c>
      <c r="D2172" s="7"/>
      <c r="E2172" s="7"/>
      <c r="F2172" s="7">
        <f t="shared" si="379"/>
        <v>0</v>
      </c>
      <c r="G2172" s="8"/>
      <c r="H2172" s="7">
        <f t="shared" si="380"/>
        <v>0</v>
      </c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9">
        <f t="shared" si="377"/>
        <v>0</v>
      </c>
      <c r="T2172" s="10">
        <f t="shared" si="378"/>
        <v>0</v>
      </c>
      <c r="U2172" s="10"/>
    </row>
    <row r="2173" spans="1:21">
      <c r="A2173" s="6"/>
      <c r="B2173" s="11" t="s">
        <v>76</v>
      </c>
      <c r="C2173" s="7" t="s">
        <v>26</v>
      </c>
      <c r="D2173" s="7"/>
      <c r="E2173" s="7"/>
      <c r="F2173" s="7">
        <f t="shared" si="379"/>
        <v>20</v>
      </c>
      <c r="G2173" s="8"/>
      <c r="H2173" s="7">
        <f t="shared" si="380"/>
        <v>0</v>
      </c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9">
        <f t="shared" si="377"/>
        <v>20</v>
      </c>
      <c r="T2173" s="10">
        <f t="shared" si="378"/>
        <v>0</v>
      </c>
      <c r="U2173" s="10"/>
    </row>
    <row r="2174" spans="1:21">
      <c r="A2174" s="6"/>
      <c r="B2174" s="11" t="s">
        <v>77</v>
      </c>
      <c r="C2174" s="7" t="s">
        <v>61</v>
      </c>
      <c r="D2174" s="7"/>
      <c r="E2174" s="7"/>
      <c r="F2174" s="7">
        <f t="shared" si="379"/>
        <v>0</v>
      </c>
      <c r="G2174" s="8"/>
      <c r="H2174" s="7">
        <f t="shared" si="380"/>
        <v>0</v>
      </c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9">
        <f t="shared" si="377"/>
        <v>0</v>
      </c>
      <c r="T2174" s="10">
        <f t="shared" si="378"/>
        <v>0</v>
      </c>
      <c r="U2174" s="10"/>
    </row>
    <row r="2175" spans="1:21">
      <c r="A2175" s="6"/>
      <c r="B2175" s="11" t="s">
        <v>78</v>
      </c>
      <c r="C2175" s="7" t="s">
        <v>61</v>
      </c>
      <c r="D2175" s="7"/>
      <c r="E2175" s="7"/>
      <c r="F2175" s="7">
        <f t="shared" si="379"/>
        <v>69</v>
      </c>
      <c r="G2175" s="8"/>
      <c r="H2175" s="7">
        <f t="shared" si="380"/>
        <v>0</v>
      </c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9">
        <f t="shared" si="377"/>
        <v>69</v>
      </c>
      <c r="T2175" s="10">
        <f t="shared" si="378"/>
        <v>0</v>
      </c>
      <c r="U2175" s="10"/>
    </row>
    <row r="2176" spans="1:21">
      <c r="A2176" s="6"/>
      <c r="B2176" s="11" t="s">
        <v>105</v>
      </c>
      <c r="C2176" s="7" t="s">
        <v>26</v>
      </c>
      <c r="D2176" s="7"/>
      <c r="E2176" s="7"/>
      <c r="F2176" s="7">
        <f t="shared" si="379"/>
        <v>1269</v>
      </c>
      <c r="G2176" s="8"/>
      <c r="H2176" s="7">
        <f t="shared" si="380"/>
        <v>0</v>
      </c>
      <c r="I2176" s="7"/>
      <c r="J2176" s="7">
        <v>120</v>
      </c>
      <c r="K2176" s="7"/>
      <c r="L2176" s="7"/>
      <c r="M2176" s="7"/>
      <c r="N2176" s="7"/>
      <c r="O2176" s="7"/>
      <c r="P2176" s="7"/>
      <c r="Q2176" s="7"/>
      <c r="R2176" s="7"/>
      <c r="S2176" s="9">
        <f t="shared" si="377"/>
        <v>1149</v>
      </c>
      <c r="T2176" s="10">
        <f t="shared" si="378"/>
        <v>0</v>
      </c>
      <c r="U2176" s="10"/>
    </row>
    <row r="2177" spans="1:21">
      <c r="A2177" s="6"/>
      <c r="B2177" s="11" t="s">
        <v>80</v>
      </c>
      <c r="C2177" s="7" t="s">
        <v>26</v>
      </c>
      <c r="D2177" s="7"/>
      <c r="E2177" s="7"/>
      <c r="F2177" s="7">
        <f t="shared" si="379"/>
        <v>485</v>
      </c>
      <c r="G2177" s="8"/>
      <c r="H2177" s="7">
        <f t="shared" si="380"/>
        <v>0</v>
      </c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9">
        <f t="shared" si="377"/>
        <v>485</v>
      </c>
      <c r="T2177" s="10">
        <f t="shared" si="378"/>
        <v>0</v>
      </c>
      <c r="U2177" s="10"/>
    </row>
    <row r="2178" spans="1:21">
      <c r="A2178" s="6"/>
      <c r="B2178" s="11" t="s">
        <v>81</v>
      </c>
      <c r="C2178" s="7" t="s">
        <v>26</v>
      </c>
      <c r="D2178" s="7"/>
      <c r="E2178" s="7"/>
      <c r="F2178" s="7">
        <f t="shared" si="379"/>
        <v>0</v>
      </c>
      <c r="G2178" s="8"/>
      <c r="H2178" s="7">
        <f t="shared" si="380"/>
        <v>0</v>
      </c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9">
        <f t="shared" si="377"/>
        <v>0</v>
      </c>
      <c r="T2178" s="10">
        <f t="shared" si="378"/>
        <v>0</v>
      </c>
      <c r="U2178" s="10"/>
    </row>
    <row r="2179" spans="1:21">
      <c r="A2179" s="6"/>
      <c r="B2179" s="11" t="s">
        <v>82</v>
      </c>
      <c r="C2179" s="7" t="s">
        <v>26</v>
      </c>
      <c r="D2179" s="7"/>
      <c r="E2179" s="7"/>
      <c r="F2179" s="7">
        <f t="shared" si="379"/>
        <v>14</v>
      </c>
      <c r="G2179" s="8"/>
      <c r="H2179" s="7">
        <f t="shared" si="380"/>
        <v>0</v>
      </c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9">
        <f t="shared" si="377"/>
        <v>14</v>
      </c>
      <c r="T2179" s="10">
        <f t="shared" si="378"/>
        <v>0</v>
      </c>
      <c r="U2179" s="10"/>
    </row>
    <row r="2180" spans="1:21">
      <c r="A2180" s="6"/>
      <c r="B2180" s="11" t="s">
        <v>83</v>
      </c>
      <c r="C2180" s="7" t="s">
        <v>26</v>
      </c>
      <c r="D2180" s="7"/>
      <c r="E2180" s="7"/>
      <c r="F2180" s="7">
        <f t="shared" si="379"/>
        <v>0</v>
      </c>
      <c r="G2180" s="8"/>
      <c r="H2180" s="7">
        <f t="shared" si="380"/>
        <v>0</v>
      </c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9">
        <f t="shared" si="377"/>
        <v>0</v>
      </c>
      <c r="T2180" s="10">
        <f t="shared" si="378"/>
        <v>0</v>
      </c>
      <c r="U2180" s="10"/>
    </row>
    <row r="2181" spans="1:21">
      <c r="A2181" s="6"/>
      <c r="B2181" s="11" t="s">
        <v>84</v>
      </c>
      <c r="C2181" s="7" t="s">
        <v>26</v>
      </c>
      <c r="D2181" s="7"/>
      <c r="E2181" s="7"/>
      <c r="F2181" s="7">
        <f t="shared" si="379"/>
        <v>28</v>
      </c>
      <c r="G2181" s="8"/>
      <c r="H2181" s="7">
        <f t="shared" si="380"/>
        <v>0</v>
      </c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9">
        <f t="shared" si="377"/>
        <v>28</v>
      </c>
      <c r="T2181" s="10">
        <f t="shared" si="378"/>
        <v>0</v>
      </c>
      <c r="U2181" s="10"/>
    </row>
    <row r="2182" spans="1:21">
      <c r="A2182" s="6"/>
      <c r="B2182" s="11" t="s">
        <v>85</v>
      </c>
      <c r="C2182" s="7" t="s">
        <v>61</v>
      </c>
      <c r="D2182" s="7"/>
      <c r="E2182" s="7"/>
      <c r="F2182" s="7">
        <f t="shared" si="379"/>
        <v>0</v>
      </c>
      <c r="G2182" s="8"/>
      <c r="H2182" s="7">
        <f t="shared" si="380"/>
        <v>0</v>
      </c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9">
        <f t="shared" si="377"/>
        <v>0</v>
      </c>
      <c r="T2182" s="10">
        <f t="shared" si="378"/>
        <v>0</v>
      </c>
      <c r="U2182" s="10"/>
    </row>
    <row r="2183" spans="1:21">
      <c r="A2183" s="6"/>
      <c r="B2183" s="11" t="s">
        <v>86</v>
      </c>
      <c r="C2183" s="7" t="s">
        <v>61</v>
      </c>
      <c r="D2183" s="7"/>
      <c r="E2183" s="7"/>
      <c r="F2183" s="7">
        <f t="shared" si="379"/>
        <v>10</v>
      </c>
      <c r="G2183" s="8"/>
      <c r="H2183" s="7">
        <f t="shared" si="380"/>
        <v>0</v>
      </c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9">
        <f t="shared" si="377"/>
        <v>10</v>
      </c>
      <c r="T2183" s="10">
        <f t="shared" si="378"/>
        <v>0</v>
      </c>
      <c r="U2183" s="10"/>
    </row>
    <row r="2184" spans="1:21">
      <c r="A2184" s="6"/>
      <c r="B2184" s="11" t="s">
        <v>87</v>
      </c>
      <c r="C2184" s="7" t="s">
        <v>26</v>
      </c>
      <c r="D2184" s="7"/>
      <c r="E2184" s="7"/>
      <c r="F2184" s="7">
        <f t="shared" si="379"/>
        <v>0</v>
      </c>
      <c r="G2184" s="8"/>
      <c r="H2184" s="7">
        <f t="shared" si="380"/>
        <v>0</v>
      </c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9">
        <f t="shared" si="377"/>
        <v>0</v>
      </c>
      <c r="T2184" s="10">
        <f t="shared" si="378"/>
        <v>0</v>
      </c>
      <c r="U2184" s="10"/>
    </row>
    <row r="2185" spans="1:21">
      <c r="A2185" s="6"/>
      <c r="B2185" s="11" t="s">
        <v>88</v>
      </c>
      <c r="C2185" s="7"/>
      <c r="D2185" s="7"/>
      <c r="E2185" s="7"/>
      <c r="F2185" s="7">
        <f t="shared" si="379"/>
        <v>7</v>
      </c>
      <c r="G2185" s="8"/>
      <c r="H2185" s="7">
        <f t="shared" si="380"/>
        <v>0</v>
      </c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9">
        <f t="shared" si="377"/>
        <v>7</v>
      </c>
      <c r="T2185" s="10">
        <f t="shared" si="378"/>
        <v>0</v>
      </c>
      <c r="U2185" s="10"/>
    </row>
    <row r="2186" spans="1:21">
      <c r="A2186" s="6"/>
      <c r="B2186" s="11" t="s">
        <v>89</v>
      </c>
      <c r="C2186" s="7" t="s">
        <v>26</v>
      </c>
      <c r="D2186" s="7"/>
      <c r="E2186" s="7"/>
      <c r="F2186" s="7">
        <f t="shared" si="379"/>
        <v>858</v>
      </c>
      <c r="G2186" s="8"/>
      <c r="H2186" s="7">
        <f t="shared" si="380"/>
        <v>0</v>
      </c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9">
        <f t="shared" si="377"/>
        <v>858</v>
      </c>
      <c r="T2186" s="10">
        <f t="shared" si="378"/>
        <v>0</v>
      </c>
      <c r="U2186" s="10"/>
    </row>
    <row r="2187" spans="1:21">
      <c r="A2187" s="6"/>
      <c r="B2187" s="11" t="s">
        <v>90</v>
      </c>
      <c r="C2187" s="7" t="s">
        <v>26</v>
      </c>
      <c r="D2187" s="7"/>
      <c r="E2187" s="7"/>
      <c r="F2187" s="7">
        <f t="shared" si="379"/>
        <v>0</v>
      </c>
      <c r="G2187" s="8"/>
      <c r="H2187" s="7">
        <f t="shared" si="380"/>
        <v>0</v>
      </c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9">
        <f t="shared" si="377"/>
        <v>0</v>
      </c>
      <c r="T2187" s="10">
        <f t="shared" si="378"/>
        <v>0</v>
      </c>
      <c r="U2187" s="10"/>
    </row>
    <row r="2188" spans="1:21">
      <c r="A2188" s="6"/>
      <c r="B2188" s="11" t="s">
        <v>91</v>
      </c>
      <c r="C2188" s="7" t="s">
        <v>26</v>
      </c>
      <c r="D2188" s="7"/>
      <c r="E2188" s="7"/>
      <c r="F2188" s="7">
        <f t="shared" si="379"/>
        <v>138</v>
      </c>
      <c r="G2188" s="8"/>
      <c r="H2188" s="7">
        <f t="shared" si="380"/>
        <v>0</v>
      </c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9">
        <f t="shared" si="377"/>
        <v>138</v>
      </c>
      <c r="T2188" s="10">
        <f t="shared" si="378"/>
        <v>0</v>
      </c>
      <c r="U2188" s="10"/>
    </row>
    <row r="2189" spans="1:21">
      <c r="A2189" s="6"/>
      <c r="B2189" s="12" t="s">
        <v>92</v>
      </c>
      <c r="C2189" s="13" t="s">
        <v>26</v>
      </c>
      <c r="D2189" s="7"/>
      <c r="E2189" s="7"/>
      <c r="F2189" s="7">
        <f t="shared" si="379"/>
        <v>1869</v>
      </c>
      <c r="G2189" s="8"/>
      <c r="H2189" s="7">
        <f t="shared" si="380"/>
        <v>0</v>
      </c>
      <c r="I2189" s="7"/>
      <c r="J2189" s="7">
        <v>420</v>
      </c>
      <c r="K2189" s="7"/>
      <c r="L2189" s="7">
        <v>13</v>
      </c>
      <c r="M2189" s="7"/>
      <c r="N2189" s="7"/>
      <c r="O2189" s="7"/>
      <c r="P2189" s="7"/>
      <c r="Q2189" s="7"/>
      <c r="R2189" s="7"/>
      <c r="S2189" s="9">
        <f t="shared" si="377"/>
        <v>1436</v>
      </c>
      <c r="T2189" s="10">
        <f t="shared" si="378"/>
        <v>0</v>
      </c>
      <c r="U2189" s="10"/>
    </row>
    <row r="2190" spans="1:21">
      <c r="A2190" s="6"/>
      <c r="B2190" s="12" t="s">
        <v>93</v>
      </c>
      <c r="C2190" s="13" t="s">
        <v>26</v>
      </c>
      <c r="D2190" s="7"/>
      <c r="E2190" s="7"/>
      <c r="F2190" s="7">
        <f t="shared" si="379"/>
        <v>1752</v>
      </c>
      <c r="G2190" s="8"/>
      <c r="H2190" s="7">
        <f t="shared" si="380"/>
        <v>0</v>
      </c>
      <c r="I2190" s="7"/>
      <c r="J2190" s="7">
        <v>120</v>
      </c>
      <c r="K2190" s="7"/>
      <c r="L2190" s="7"/>
      <c r="M2190" s="7">
        <v>34</v>
      </c>
      <c r="N2190" s="7"/>
      <c r="O2190" s="7"/>
      <c r="P2190" s="7"/>
      <c r="Q2190" s="7"/>
      <c r="R2190" s="7"/>
      <c r="S2190" s="9">
        <f t="shared" si="377"/>
        <v>1666</v>
      </c>
      <c r="T2190" s="10">
        <f t="shared" si="378"/>
        <v>0</v>
      </c>
      <c r="U2190" s="10"/>
    </row>
    <row r="2191" spans="1:21">
      <c r="A2191" s="6"/>
      <c r="B2191" s="11" t="s">
        <v>94</v>
      </c>
      <c r="C2191" s="7" t="s">
        <v>41</v>
      </c>
      <c r="D2191" s="7"/>
      <c r="E2191" s="7"/>
      <c r="F2191" s="7">
        <f t="shared" si="379"/>
        <v>0</v>
      </c>
      <c r="G2191" s="8"/>
      <c r="H2191" s="7">
        <f t="shared" si="380"/>
        <v>0</v>
      </c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9">
        <f t="shared" si="377"/>
        <v>0</v>
      </c>
      <c r="T2191" s="10">
        <f t="shared" si="378"/>
        <v>0</v>
      </c>
      <c r="U2191" s="10"/>
    </row>
    <row r="2192" spans="1:21">
      <c r="A2192" s="6"/>
      <c r="B2192" s="11" t="s">
        <v>95</v>
      </c>
      <c r="C2192" s="7" t="s">
        <v>41</v>
      </c>
      <c r="D2192" s="7"/>
      <c r="E2192" s="7"/>
      <c r="F2192" s="7">
        <f t="shared" si="379"/>
        <v>39</v>
      </c>
      <c r="G2192" s="8"/>
      <c r="H2192" s="7">
        <f t="shared" si="380"/>
        <v>0</v>
      </c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9">
        <f t="shared" si="377"/>
        <v>39</v>
      </c>
      <c r="T2192" s="10">
        <f t="shared" si="378"/>
        <v>0</v>
      </c>
      <c r="U2192" s="10"/>
    </row>
    <row r="2193" spans="1:21">
      <c r="A2193" s="6"/>
      <c r="B2193" s="11" t="s">
        <v>96</v>
      </c>
      <c r="C2193" s="7" t="s">
        <v>41</v>
      </c>
      <c r="D2193" s="7"/>
      <c r="E2193" s="7"/>
      <c r="F2193" s="7">
        <f t="shared" si="379"/>
        <v>0</v>
      </c>
      <c r="G2193" s="8"/>
      <c r="H2193" s="7">
        <f t="shared" si="380"/>
        <v>0</v>
      </c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9">
        <f t="shared" si="377"/>
        <v>0</v>
      </c>
      <c r="T2193" s="10">
        <f t="shared" si="378"/>
        <v>0</v>
      </c>
      <c r="U2193" s="10"/>
    </row>
    <row r="2194" spans="1:21">
      <c r="A2194" s="6"/>
      <c r="B2194" s="11" t="s">
        <v>97</v>
      </c>
      <c r="C2194" s="7" t="s">
        <v>41</v>
      </c>
      <c r="D2194" s="7"/>
      <c r="E2194" s="7"/>
      <c r="F2194" s="7">
        <f t="shared" si="379"/>
        <v>0</v>
      </c>
      <c r="G2194" s="8"/>
      <c r="H2194" s="7">
        <f t="shared" si="380"/>
        <v>0</v>
      </c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9">
        <f t="shared" si="377"/>
        <v>0</v>
      </c>
      <c r="T2194" s="10">
        <f t="shared" si="378"/>
        <v>0</v>
      </c>
      <c r="U2194" s="10"/>
    </row>
    <row r="2195" spans="1:21">
      <c r="A2195" s="6"/>
      <c r="B2195" s="11" t="s">
        <v>98</v>
      </c>
      <c r="C2195" s="7" t="s">
        <v>26</v>
      </c>
      <c r="D2195" s="7"/>
      <c r="E2195" s="7"/>
      <c r="F2195" s="7">
        <f t="shared" si="379"/>
        <v>1367</v>
      </c>
      <c r="G2195" s="8"/>
      <c r="H2195" s="7">
        <f t="shared" si="380"/>
        <v>0</v>
      </c>
      <c r="I2195" s="7"/>
      <c r="J2195" s="7">
        <v>240</v>
      </c>
      <c r="K2195" s="7">
        <v>28</v>
      </c>
      <c r="L2195" s="7"/>
      <c r="M2195" s="7"/>
      <c r="N2195" s="7"/>
      <c r="O2195" s="7"/>
      <c r="P2195" s="7"/>
      <c r="Q2195" s="7"/>
      <c r="R2195" s="7"/>
      <c r="S2195" s="9">
        <f t="shared" si="377"/>
        <v>1099</v>
      </c>
      <c r="T2195" s="10">
        <f t="shared" si="378"/>
        <v>0</v>
      </c>
      <c r="U2195" s="10"/>
    </row>
    <row r="2196" spans="1:21">
      <c r="A2196" s="6"/>
      <c r="B2196" s="11" t="s">
        <v>99</v>
      </c>
      <c r="C2196" s="7" t="s">
        <v>26</v>
      </c>
      <c r="D2196" s="7"/>
      <c r="E2196" s="7"/>
      <c r="F2196" s="7">
        <f t="shared" si="379"/>
        <v>71</v>
      </c>
      <c r="G2196" s="8"/>
      <c r="H2196" s="7">
        <f t="shared" si="380"/>
        <v>0</v>
      </c>
      <c r="I2196" s="7"/>
      <c r="J2196" s="7"/>
      <c r="K2196" s="7"/>
      <c r="L2196" s="7"/>
      <c r="M2196" s="7">
        <v>12</v>
      </c>
      <c r="N2196" s="7"/>
      <c r="O2196" s="7"/>
      <c r="P2196" s="7"/>
      <c r="Q2196" s="7"/>
      <c r="R2196" s="7"/>
      <c r="S2196" s="9">
        <f t="shared" si="377"/>
        <v>83</v>
      </c>
      <c r="T2196" s="10">
        <f t="shared" si="378"/>
        <v>0</v>
      </c>
      <c r="U2196" s="10"/>
    </row>
    <row r="2197" spans="1:21">
      <c r="A2197" s="6"/>
      <c r="B2197" s="11" t="s">
        <v>100</v>
      </c>
      <c r="C2197" s="7" t="s">
        <v>26</v>
      </c>
      <c r="D2197" s="7"/>
      <c r="E2197" s="7"/>
      <c r="F2197" s="7">
        <f t="shared" si="379"/>
        <v>321</v>
      </c>
      <c r="G2197" s="8"/>
      <c r="H2197" s="7">
        <f t="shared" si="380"/>
        <v>0</v>
      </c>
      <c r="I2197" s="7"/>
      <c r="J2197" s="7">
        <v>139</v>
      </c>
      <c r="K2197" s="7"/>
      <c r="L2197" s="7"/>
      <c r="M2197" s="7"/>
      <c r="N2197" s="7"/>
      <c r="O2197" s="7"/>
      <c r="P2197" s="7"/>
      <c r="Q2197" s="7"/>
      <c r="R2197" s="7"/>
      <c r="S2197" s="9">
        <f t="shared" si="377"/>
        <v>182</v>
      </c>
      <c r="T2197" s="10">
        <f t="shared" si="378"/>
        <v>0</v>
      </c>
      <c r="U2197" s="10"/>
    </row>
    <row r="2198" spans="1:21">
      <c r="A2198" s="6"/>
      <c r="B2198" s="11" t="s">
        <v>101</v>
      </c>
      <c r="C2198" s="7" t="s">
        <v>26</v>
      </c>
      <c r="D2198" s="7"/>
      <c r="E2198" s="7"/>
      <c r="F2198" s="7">
        <f t="shared" si="379"/>
        <v>120</v>
      </c>
      <c r="G2198" s="8"/>
      <c r="H2198" s="7">
        <f t="shared" si="380"/>
        <v>0</v>
      </c>
      <c r="I2198" s="7"/>
      <c r="J2198" s="7"/>
      <c r="K2198" s="7"/>
      <c r="L2198" s="7"/>
      <c r="M2198" s="7">
        <v>24</v>
      </c>
      <c r="N2198" s="7"/>
      <c r="O2198" s="7"/>
      <c r="P2198" s="7"/>
      <c r="Q2198" s="7"/>
      <c r="R2198" s="7"/>
      <c r="S2198" s="9">
        <f t="shared" si="377"/>
        <v>144</v>
      </c>
      <c r="T2198" s="10">
        <f t="shared" si="378"/>
        <v>0</v>
      </c>
      <c r="U2198" s="10"/>
    </row>
    <row r="2199" spans="1:21">
      <c r="A2199" s="6"/>
      <c r="B2199" s="11" t="s">
        <v>102</v>
      </c>
      <c r="C2199" s="7" t="s">
        <v>26</v>
      </c>
      <c r="D2199" s="7"/>
      <c r="E2199" s="7"/>
      <c r="F2199" s="7">
        <f t="shared" si="379"/>
        <v>656</v>
      </c>
      <c r="G2199" s="8"/>
      <c r="H2199" s="7">
        <f t="shared" si="380"/>
        <v>0</v>
      </c>
      <c r="I2199" s="7"/>
      <c r="J2199" s="7">
        <v>120</v>
      </c>
      <c r="K2199" s="7"/>
      <c r="L2199" s="7"/>
      <c r="M2199" s="7"/>
      <c r="N2199" s="7"/>
      <c r="O2199" s="7"/>
      <c r="P2199" s="7"/>
      <c r="Q2199" s="7"/>
      <c r="R2199" s="7"/>
      <c r="S2199" s="9">
        <f t="shared" si="377"/>
        <v>536</v>
      </c>
      <c r="T2199" s="10">
        <f t="shared" si="378"/>
        <v>0</v>
      </c>
      <c r="U2199" s="10"/>
    </row>
    <row r="2200" spans="1:21">
      <c r="A2200" s="6"/>
      <c r="B2200" s="11" t="s">
        <v>103</v>
      </c>
      <c r="C2200" s="7" t="s">
        <v>26</v>
      </c>
      <c r="D2200" s="7"/>
      <c r="E2200" s="7"/>
      <c r="F2200" s="7">
        <f t="shared" si="379"/>
        <v>557</v>
      </c>
      <c r="G2200" s="8"/>
      <c r="H2200" s="7">
        <f t="shared" si="380"/>
        <v>0</v>
      </c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9">
        <f t="shared" si="377"/>
        <v>557</v>
      </c>
      <c r="T2200" s="10">
        <f t="shared" si="378"/>
        <v>0</v>
      </c>
      <c r="U2200" s="10"/>
    </row>
    <row r="2201" spans="1:21">
      <c r="A2201" s="6"/>
      <c r="B2201" s="11" t="s">
        <v>112</v>
      </c>
      <c r="C2201" s="7" t="s">
        <v>113</v>
      </c>
      <c r="D2201" s="7"/>
      <c r="E2201" s="7"/>
      <c r="F2201" s="7">
        <f t="shared" si="379"/>
        <v>1000</v>
      </c>
      <c r="G2201" s="8"/>
      <c r="H2201" s="7">
        <f t="shared" si="380"/>
        <v>0</v>
      </c>
      <c r="I2201" s="7"/>
      <c r="J2201" s="7">
        <v>60</v>
      </c>
      <c r="K2201" s="7"/>
      <c r="L2201" s="7"/>
      <c r="M2201" s="7"/>
      <c r="N2201" s="7"/>
      <c r="O2201" s="7"/>
      <c r="P2201" s="7"/>
      <c r="Q2201" s="7"/>
      <c r="R2201" s="7"/>
      <c r="S2201" s="9">
        <f t="shared" si="377"/>
        <v>940</v>
      </c>
      <c r="T2201" s="10">
        <f t="shared" si="378"/>
        <v>0</v>
      </c>
      <c r="U2201" s="10"/>
    </row>
    <row r="2202" spans="1:21">
      <c r="A2202" s="6"/>
      <c r="B2202" s="11"/>
      <c r="C2202" s="7"/>
      <c r="D2202" s="7"/>
      <c r="E2202" s="7"/>
      <c r="F2202" s="7">
        <f t="shared" si="379"/>
        <v>0</v>
      </c>
      <c r="G2202" s="8"/>
      <c r="H2202" s="7">
        <f t="shared" si="380"/>
        <v>0</v>
      </c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9">
        <f t="shared" si="377"/>
        <v>0</v>
      </c>
      <c r="T2202" s="10">
        <f t="shared" si="378"/>
        <v>0</v>
      </c>
      <c r="U2202" s="10"/>
    </row>
    <row r="2203" spans="1:21">
      <c r="A2203" s="6"/>
      <c r="B2203" s="11"/>
      <c r="C2203" s="7"/>
      <c r="D2203" s="7"/>
      <c r="E2203" s="7"/>
      <c r="F2203" s="7">
        <f t="shared" si="379"/>
        <v>0</v>
      </c>
      <c r="G2203" s="8"/>
      <c r="H2203" s="7">
        <f t="shared" si="380"/>
        <v>0</v>
      </c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9">
        <f t="shared" ref="S2203:S2221" si="381">F2203+G2203-J2203-K2203-L2203+M2203+O2203-P2203-R2203</f>
        <v>0</v>
      </c>
      <c r="T2203" s="10">
        <f t="shared" ref="T2203:T2221" si="382">H2203+I2203+N2203+R2203-Q2203</f>
        <v>0</v>
      </c>
      <c r="U2203" s="10"/>
    </row>
    <row r="2204" spans="1:21">
      <c r="A2204" s="6"/>
      <c r="B2204" s="11"/>
      <c r="C2204" s="7"/>
      <c r="D2204" s="7"/>
      <c r="E2204" s="7"/>
      <c r="F2204" s="7">
        <f t="shared" si="379"/>
        <v>0</v>
      </c>
      <c r="G2204" s="8"/>
      <c r="H2204" s="7">
        <f t="shared" si="380"/>
        <v>0</v>
      </c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9">
        <f t="shared" si="381"/>
        <v>0</v>
      </c>
      <c r="T2204" s="10">
        <f t="shared" si="382"/>
        <v>0</v>
      </c>
      <c r="U2204" s="10"/>
    </row>
    <row r="2205" spans="1:21">
      <c r="A2205" s="6"/>
      <c r="B2205" s="11"/>
      <c r="C2205" s="7"/>
      <c r="D2205" s="7"/>
      <c r="E2205" s="7"/>
      <c r="F2205" s="7">
        <f t="shared" si="379"/>
        <v>0</v>
      </c>
      <c r="G2205" s="8"/>
      <c r="H2205" s="7">
        <f t="shared" si="380"/>
        <v>0</v>
      </c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9">
        <f t="shared" si="381"/>
        <v>0</v>
      </c>
      <c r="T2205" s="10">
        <f t="shared" si="382"/>
        <v>0</v>
      </c>
      <c r="U2205" s="10"/>
    </row>
    <row r="2206" spans="1:21">
      <c r="A2206" s="6"/>
      <c r="B2206" s="11"/>
      <c r="C2206" s="7"/>
      <c r="D2206" s="7"/>
      <c r="E2206" s="7"/>
      <c r="F2206" s="7">
        <f t="shared" si="379"/>
        <v>0</v>
      </c>
      <c r="G2206" s="8"/>
      <c r="H2206" s="7">
        <f t="shared" si="380"/>
        <v>0</v>
      </c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9">
        <f t="shared" si="381"/>
        <v>0</v>
      </c>
      <c r="T2206" s="10">
        <f t="shared" si="382"/>
        <v>0</v>
      </c>
      <c r="U2206" s="10"/>
    </row>
    <row r="2207" spans="1:21">
      <c r="A2207" s="6"/>
      <c r="B2207" s="11"/>
      <c r="C2207" s="7"/>
      <c r="D2207" s="7"/>
      <c r="E2207" s="7"/>
      <c r="F2207" s="7">
        <f t="shared" si="379"/>
        <v>0</v>
      </c>
      <c r="G2207" s="8"/>
      <c r="H2207" s="7">
        <f t="shared" si="380"/>
        <v>0</v>
      </c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9">
        <f t="shared" si="381"/>
        <v>0</v>
      </c>
      <c r="T2207" s="10">
        <f t="shared" si="382"/>
        <v>0</v>
      </c>
      <c r="U2207" s="10"/>
    </row>
    <row r="2208" spans="1:21">
      <c r="A2208" s="6"/>
      <c r="B2208" s="11"/>
      <c r="C2208" s="7"/>
      <c r="D2208" s="7"/>
      <c r="E2208" s="7"/>
      <c r="F2208" s="7">
        <f t="shared" si="379"/>
        <v>0</v>
      </c>
      <c r="G2208" s="8"/>
      <c r="H2208" s="7">
        <f t="shared" si="380"/>
        <v>0</v>
      </c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9">
        <f t="shared" si="381"/>
        <v>0</v>
      </c>
      <c r="T2208" s="10">
        <f t="shared" si="382"/>
        <v>0</v>
      </c>
      <c r="U2208" s="10"/>
    </row>
    <row r="2209" spans="1:25">
      <c r="A2209" s="6"/>
      <c r="B2209" s="11"/>
      <c r="C2209" s="7"/>
      <c r="D2209" s="7"/>
      <c r="E2209" s="7"/>
      <c r="F2209" s="7">
        <f t="shared" si="379"/>
        <v>0</v>
      </c>
      <c r="G2209" s="8"/>
      <c r="H2209" s="7">
        <f t="shared" si="380"/>
        <v>0</v>
      </c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9">
        <f t="shared" si="381"/>
        <v>0</v>
      </c>
      <c r="T2209" s="10">
        <f t="shared" si="382"/>
        <v>0</v>
      </c>
      <c r="U2209" s="10"/>
    </row>
    <row r="2210" spans="1:25">
      <c r="A2210" s="6"/>
      <c r="B2210" s="11"/>
      <c r="C2210" s="7"/>
      <c r="D2210" s="7"/>
      <c r="E2210" s="7"/>
      <c r="F2210" s="7">
        <f t="shared" si="379"/>
        <v>0</v>
      </c>
      <c r="G2210" s="8"/>
      <c r="H2210" s="7">
        <f t="shared" si="380"/>
        <v>0</v>
      </c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9">
        <f t="shared" si="381"/>
        <v>0</v>
      </c>
      <c r="T2210" s="10">
        <f t="shared" si="382"/>
        <v>0</v>
      </c>
      <c r="U2210" s="10"/>
    </row>
    <row r="2211" spans="1:25">
      <c r="A2211" s="6"/>
      <c r="B2211" s="11"/>
      <c r="C2211" s="7"/>
      <c r="D2211" s="7"/>
      <c r="E2211" s="7"/>
      <c r="F2211" s="7">
        <f t="shared" si="379"/>
        <v>0</v>
      </c>
      <c r="G2211" s="8"/>
      <c r="H2211" s="7">
        <f t="shared" si="380"/>
        <v>0</v>
      </c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9">
        <f t="shared" si="381"/>
        <v>0</v>
      </c>
      <c r="T2211" s="10">
        <f t="shared" si="382"/>
        <v>0</v>
      </c>
      <c r="U2211" s="10"/>
      <c r="V2211">
        <f>X2211*0.1</f>
        <v>0</v>
      </c>
      <c r="W2211">
        <f>E2211*S2211*1.5</f>
        <v>0</v>
      </c>
      <c r="X2211">
        <f>J2211+K2211</f>
        <v>0</v>
      </c>
      <c r="Y2211">
        <f>X2211*0.13</f>
        <v>0</v>
      </c>
    </row>
    <row r="2212" spans="1:25">
      <c r="A2212" s="6">
        <v>46169</v>
      </c>
      <c r="B2212" t="s">
        <v>25</v>
      </c>
      <c r="C2212" s="7" t="s">
        <v>26</v>
      </c>
      <c r="D2212" s="7"/>
      <c r="E2212" s="7"/>
      <c r="F2212" s="7">
        <f t="shared" si="379"/>
        <v>1059</v>
      </c>
      <c r="G2212" s="8"/>
      <c r="H2212" s="7">
        <f t="shared" si="380"/>
        <v>0</v>
      </c>
      <c r="I2212" s="7"/>
      <c r="J2212" s="7">
        <v>270</v>
      </c>
      <c r="K2212" s="7"/>
      <c r="L2212" s="7"/>
      <c r="M2212" s="7"/>
      <c r="N2212" s="7"/>
      <c r="O2212" s="7"/>
      <c r="P2212" s="7"/>
      <c r="Q2212" s="7"/>
      <c r="R2212" s="7"/>
      <c r="S2212" s="9">
        <f t="shared" si="381"/>
        <v>789</v>
      </c>
      <c r="T2212" s="10">
        <f t="shared" si="382"/>
        <v>0</v>
      </c>
      <c r="U2212" s="10"/>
      <c r="V2212">
        <f t="shared" ref="V2212:V2218" si="383">X2212*0.1</f>
        <v>27</v>
      </c>
      <c r="W2212">
        <f t="shared" ref="W2212:W2218" si="384">E2212*S2212*1.5</f>
        <v>0</v>
      </c>
      <c r="X2212">
        <f t="shared" ref="X2212:X2218" si="385">J2212+K2212</f>
        <v>270</v>
      </c>
      <c r="Y2212">
        <f t="shared" ref="Y2212:Y2218" si="386">X2212*0.13</f>
        <v>35.1</v>
      </c>
    </row>
    <row r="2213" spans="1:25">
      <c r="A2213" s="6"/>
      <c r="B2213" t="s">
        <v>27</v>
      </c>
      <c r="C2213" s="7" t="s">
        <v>26</v>
      </c>
      <c r="D2213" s="7"/>
      <c r="E2213" s="7"/>
      <c r="F2213" s="7">
        <f t="shared" si="379"/>
        <v>865</v>
      </c>
      <c r="G2213" s="8"/>
      <c r="H2213" s="7">
        <f t="shared" si="380"/>
        <v>0</v>
      </c>
      <c r="I2213" s="7"/>
      <c r="J2213" s="7"/>
      <c r="K2213" s="7"/>
      <c r="L2213" s="7"/>
      <c r="M2213" s="7">
        <v>20</v>
      </c>
      <c r="N2213" s="7"/>
      <c r="O2213" s="7"/>
      <c r="P2213" s="7"/>
      <c r="Q2213" s="7"/>
      <c r="R2213" s="7"/>
      <c r="S2213" s="9">
        <f t="shared" si="381"/>
        <v>885</v>
      </c>
      <c r="T2213" s="10">
        <f t="shared" si="382"/>
        <v>0</v>
      </c>
      <c r="U2213" s="10"/>
      <c r="V2213">
        <f t="shared" si="383"/>
        <v>0</v>
      </c>
      <c r="W2213">
        <f t="shared" si="384"/>
        <v>0</v>
      </c>
      <c r="X2213">
        <f t="shared" si="385"/>
        <v>0</v>
      </c>
      <c r="Y2213">
        <f t="shared" si="386"/>
        <v>0</v>
      </c>
    </row>
    <row r="2214" spans="1:25">
      <c r="A2214" s="6"/>
      <c r="B2214" s="6" t="s">
        <v>28</v>
      </c>
      <c r="C2214" s="7" t="s">
        <v>26</v>
      </c>
      <c r="D2214" s="7"/>
      <c r="E2214" s="7"/>
      <c r="F2214" s="7">
        <f t="shared" si="379"/>
        <v>787</v>
      </c>
      <c r="G2214" s="8"/>
      <c r="H2214" s="7">
        <f t="shared" si="380"/>
        <v>0</v>
      </c>
      <c r="I2214" s="7"/>
      <c r="J2214" s="7">
        <v>75</v>
      </c>
      <c r="K2214" s="7"/>
      <c r="L2214" s="7"/>
      <c r="M2214" s="7"/>
      <c r="N2214" s="7"/>
      <c r="O2214" s="7"/>
      <c r="P2214" s="7"/>
      <c r="Q2214" s="7"/>
      <c r="R2214" s="7"/>
      <c r="S2214" s="9">
        <f t="shared" si="381"/>
        <v>712</v>
      </c>
      <c r="T2214" s="10">
        <f t="shared" si="382"/>
        <v>0</v>
      </c>
      <c r="U2214" s="10"/>
      <c r="V2214">
        <f t="shared" si="383"/>
        <v>7.5</v>
      </c>
      <c r="W2214">
        <f t="shared" si="384"/>
        <v>0</v>
      </c>
      <c r="X2214">
        <f t="shared" si="385"/>
        <v>75</v>
      </c>
      <c r="Y2214">
        <f t="shared" si="386"/>
        <v>9.75</v>
      </c>
    </row>
    <row r="2215" spans="1:25">
      <c r="A2215" s="6"/>
      <c r="B2215" s="6" t="s">
        <v>29</v>
      </c>
      <c r="C2215" s="7" t="s">
        <v>26</v>
      </c>
      <c r="D2215" s="7"/>
      <c r="E2215" s="7"/>
      <c r="F2215" s="7">
        <f t="shared" si="379"/>
        <v>362</v>
      </c>
      <c r="G2215" s="8"/>
      <c r="H2215" s="7">
        <f t="shared" si="380"/>
        <v>0</v>
      </c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9">
        <f t="shared" si="381"/>
        <v>362</v>
      </c>
      <c r="T2215" s="10">
        <f t="shared" si="382"/>
        <v>0</v>
      </c>
      <c r="U2215" s="10"/>
      <c r="V2215">
        <f t="shared" si="383"/>
        <v>0</v>
      </c>
      <c r="W2215">
        <f t="shared" si="384"/>
        <v>0</v>
      </c>
      <c r="X2215">
        <f t="shared" si="385"/>
        <v>0</v>
      </c>
      <c r="Y2215">
        <f t="shared" si="386"/>
        <v>0</v>
      </c>
    </row>
    <row r="2216" spans="1:25">
      <c r="A2216" s="6"/>
      <c r="B2216" s="6" t="s">
        <v>30</v>
      </c>
      <c r="C2216" s="7" t="s">
        <v>26</v>
      </c>
      <c r="D2216" s="7"/>
      <c r="E2216" s="7"/>
      <c r="F2216" s="7">
        <f t="shared" si="379"/>
        <v>424</v>
      </c>
      <c r="G2216" s="8"/>
      <c r="H2216" s="7">
        <f t="shared" si="380"/>
        <v>0</v>
      </c>
      <c r="I2216" s="7"/>
      <c r="J2216" s="7">
        <v>240</v>
      </c>
      <c r="K2216" s="7"/>
      <c r="L2216" s="7"/>
      <c r="M2216" s="7"/>
      <c r="N2216" s="7"/>
      <c r="O2216" s="7"/>
      <c r="P2216" s="7"/>
      <c r="Q2216" s="7"/>
      <c r="R2216" s="7"/>
      <c r="S2216" s="9">
        <f t="shared" si="381"/>
        <v>184</v>
      </c>
      <c r="T2216" s="10">
        <f t="shared" si="382"/>
        <v>0</v>
      </c>
      <c r="U2216" s="10"/>
      <c r="V2216">
        <f t="shared" si="383"/>
        <v>24</v>
      </c>
      <c r="W2216">
        <f t="shared" si="384"/>
        <v>0</v>
      </c>
      <c r="X2216">
        <f t="shared" si="385"/>
        <v>240</v>
      </c>
      <c r="Y2216">
        <f t="shared" si="386"/>
        <v>31.2</v>
      </c>
    </row>
    <row r="2217" spans="1:25">
      <c r="A2217" s="6"/>
      <c r="B2217" s="6" t="s">
        <v>31</v>
      </c>
      <c r="C2217" s="7" t="s">
        <v>26</v>
      </c>
      <c r="D2217" s="7"/>
      <c r="E2217" s="7"/>
      <c r="F2217" s="7">
        <f t="shared" si="379"/>
        <v>1759</v>
      </c>
      <c r="G2217" s="8"/>
      <c r="H2217" s="7">
        <f t="shared" si="380"/>
        <v>0</v>
      </c>
      <c r="I2217" s="7"/>
      <c r="J2217" s="7"/>
      <c r="K2217" s="7"/>
      <c r="L2217" s="7"/>
      <c r="M2217" s="7">
        <v>70</v>
      </c>
      <c r="N2217" s="7"/>
      <c r="O2217" s="7"/>
      <c r="P2217" s="7"/>
      <c r="Q2217" s="7"/>
      <c r="R2217" s="7"/>
      <c r="S2217" s="9">
        <f t="shared" si="381"/>
        <v>1829</v>
      </c>
      <c r="T2217" s="10">
        <f t="shared" si="382"/>
        <v>0</v>
      </c>
      <c r="U2217" s="10"/>
      <c r="V2217">
        <f t="shared" si="383"/>
        <v>0</v>
      </c>
      <c r="W2217">
        <f t="shared" si="384"/>
        <v>0</v>
      </c>
      <c r="X2217">
        <f t="shared" si="385"/>
        <v>0</v>
      </c>
      <c r="Y2217">
        <f t="shared" si="386"/>
        <v>0</v>
      </c>
    </row>
    <row r="2218" spans="1:25">
      <c r="A2218" s="6"/>
      <c r="B2218" s="6" t="s">
        <v>32</v>
      </c>
      <c r="C2218" s="7" t="s">
        <v>26</v>
      </c>
      <c r="D2218" s="7"/>
      <c r="E2218" s="7"/>
      <c r="F2218" s="7">
        <f t="shared" si="379"/>
        <v>1418</v>
      </c>
      <c r="G2218" s="8"/>
      <c r="H2218" s="7">
        <f t="shared" si="380"/>
        <v>0</v>
      </c>
      <c r="I2218" s="7"/>
      <c r="J2218" s="7">
        <v>75</v>
      </c>
      <c r="K2218" s="7"/>
      <c r="L2218" s="7"/>
      <c r="M2218" s="7"/>
      <c r="N2218" s="7"/>
      <c r="O2218" s="7"/>
      <c r="P2218" s="7"/>
      <c r="Q2218" s="7"/>
      <c r="R2218" s="7"/>
      <c r="S2218" s="9">
        <f t="shared" si="381"/>
        <v>1343</v>
      </c>
      <c r="T2218" s="10">
        <f t="shared" si="382"/>
        <v>0</v>
      </c>
      <c r="U2218" s="10"/>
      <c r="V2218">
        <f t="shared" si="383"/>
        <v>7.5</v>
      </c>
      <c r="W2218">
        <f t="shared" si="384"/>
        <v>0</v>
      </c>
      <c r="X2218">
        <f t="shared" si="385"/>
        <v>75</v>
      </c>
      <c r="Y2218">
        <f t="shared" si="386"/>
        <v>9.75</v>
      </c>
    </row>
    <row r="2219" spans="1:25">
      <c r="A2219" s="6"/>
      <c r="B2219" s="6" t="s">
        <v>33</v>
      </c>
      <c r="C2219" s="7" t="s">
        <v>26</v>
      </c>
      <c r="D2219" s="7"/>
      <c r="E2219" s="7"/>
      <c r="F2219" s="7">
        <f t="shared" si="379"/>
        <v>1825</v>
      </c>
      <c r="G2219" s="8"/>
      <c r="H2219" s="7">
        <f t="shared" si="380"/>
        <v>0</v>
      </c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9">
        <f t="shared" si="381"/>
        <v>1825</v>
      </c>
      <c r="T2219" s="10">
        <f t="shared" si="382"/>
        <v>0</v>
      </c>
      <c r="U2219" s="10"/>
    </row>
    <row r="2220" spans="1:25">
      <c r="A2220" s="6"/>
      <c r="B2220" s="11" t="s">
        <v>34</v>
      </c>
      <c r="C2220" s="7" t="s">
        <v>26</v>
      </c>
      <c r="D2220" s="7"/>
      <c r="E2220" s="7"/>
      <c r="F2220" s="7">
        <f t="shared" si="379"/>
        <v>17</v>
      </c>
      <c r="G2220" s="8"/>
      <c r="H2220" s="7">
        <f t="shared" si="380"/>
        <v>0</v>
      </c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9">
        <f t="shared" si="381"/>
        <v>17</v>
      </c>
      <c r="T2220" s="10">
        <f t="shared" si="382"/>
        <v>0</v>
      </c>
      <c r="U2220" s="10"/>
    </row>
    <row r="2221" spans="1:25">
      <c r="A2221" s="6"/>
      <c r="B2221" s="11" t="s">
        <v>35</v>
      </c>
      <c r="C2221" s="7" t="s">
        <v>26</v>
      </c>
      <c r="D2221" s="7"/>
      <c r="E2221" s="7"/>
      <c r="F2221" s="7">
        <f t="shared" si="379"/>
        <v>120</v>
      </c>
      <c r="G2221" s="8"/>
      <c r="H2221" s="7">
        <f t="shared" si="380"/>
        <v>0</v>
      </c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9">
        <f t="shared" si="381"/>
        <v>120</v>
      </c>
      <c r="T2221" s="10">
        <f t="shared" si="382"/>
        <v>0</v>
      </c>
      <c r="U2221" s="10"/>
    </row>
    <row r="2222" spans="1:25">
      <c r="A2222" s="6"/>
      <c r="B2222" s="11" t="s">
        <v>36</v>
      </c>
      <c r="C2222" s="7" t="s">
        <v>26</v>
      </c>
      <c r="D2222" s="7"/>
      <c r="E2222" s="7"/>
      <c r="F2222" s="7">
        <f t="shared" si="379"/>
        <v>6386</v>
      </c>
      <c r="G2222" s="8"/>
      <c r="H2222" s="7">
        <f t="shared" si="380"/>
        <v>0</v>
      </c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9">
        <f t="shared" ref="S2222:S2262" si="387">F2222+G2222-J2222-K2222-L2222+M2222+O2222-P2222-R2222</f>
        <v>6386</v>
      </c>
      <c r="T2222" s="10">
        <f t="shared" ref="T2222:T2262" si="388">H2222+I2222+N2222+R2222-Q2222</f>
        <v>0</v>
      </c>
      <c r="U2222" s="10"/>
    </row>
    <row r="2223" spans="1:25">
      <c r="A2223" s="6"/>
      <c r="B2223" s="11" t="s">
        <v>37</v>
      </c>
      <c r="C2223" s="7" t="s">
        <v>26</v>
      </c>
      <c r="D2223" s="7"/>
      <c r="E2223" s="7"/>
      <c r="F2223" s="7">
        <f t="shared" ref="F2223:F2286" si="389">S2138</f>
        <v>1653</v>
      </c>
      <c r="G2223" s="8"/>
      <c r="H2223" s="7">
        <f t="shared" si="380"/>
        <v>0</v>
      </c>
      <c r="I2223" s="7"/>
      <c r="J2223" s="7"/>
      <c r="K2223" s="7"/>
      <c r="L2223" s="7"/>
      <c r="M2223" s="7">
        <v>23</v>
      </c>
      <c r="N2223" s="7"/>
      <c r="O2223" s="7"/>
      <c r="P2223" s="7"/>
      <c r="Q2223" s="7"/>
      <c r="R2223" s="7"/>
      <c r="S2223" s="9">
        <f t="shared" si="387"/>
        <v>1676</v>
      </c>
      <c r="T2223" s="10">
        <f t="shared" si="388"/>
        <v>0</v>
      </c>
      <c r="U2223" s="10"/>
    </row>
    <row r="2224" spans="1:25">
      <c r="A2224" s="6"/>
      <c r="B2224" s="11" t="s">
        <v>38</v>
      </c>
      <c r="C2224" s="7" t="s">
        <v>26</v>
      </c>
      <c r="D2224" s="7"/>
      <c r="E2224" s="7"/>
      <c r="F2224" s="7">
        <f t="shared" si="389"/>
        <v>0</v>
      </c>
      <c r="G2224" s="8"/>
      <c r="H2224" s="7">
        <f t="shared" ref="H2224:H2287" si="390">T2139</f>
        <v>0</v>
      </c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9">
        <f t="shared" si="387"/>
        <v>0</v>
      </c>
      <c r="T2224" s="10">
        <f t="shared" si="388"/>
        <v>0</v>
      </c>
      <c r="U2224" s="10"/>
    </row>
    <row r="2225" spans="1:21">
      <c r="A2225" s="6"/>
      <c r="B2225" s="11" t="s">
        <v>39</v>
      </c>
      <c r="C2225" s="7" t="s">
        <v>26</v>
      </c>
      <c r="D2225" s="7"/>
      <c r="E2225" s="7"/>
      <c r="F2225" s="7">
        <f t="shared" si="389"/>
        <v>1973</v>
      </c>
      <c r="G2225" s="8"/>
      <c r="H2225" s="7">
        <f t="shared" si="390"/>
        <v>0</v>
      </c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9">
        <f t="shared" si="387"/>
        <v>1973</v>
      </c>
      <c r="T2225" s="10">
        <f t="shared" si="388"/>
        <v>0</v>
      </c>
      <c r="U2225" s="10"/>
    </row>
    <row r="2226" spans="1:21">
      <c r="A2226" s="6"/>
      <c r="B2226" s="11" t="s">
        <v>40</v>
      </c>
      <c r="C2226" s="7" t="s">
        <v>41</v>
      </c>
      <c r="D2226" s="7"/>
      <c r="E2226" s="7"/>
      <c r="F2226" s="7">
        <f t="shared" si="389"/>
        <v>0</v>
      </c>
      <c r="G2226" s="8"/>
      <c r="H2226" s="7">
        <f t="shared" si="390"/>
        <v>0</v>
      </c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9">
        <f t="shared" si="387"/>
        <v>0</v>
      </c>
      <c r="T2226" s="10">
        <f t="shared" si="388"/>
        <v>0</v>
      </c>
      <c r="U2226" s="10"/>
    </row>
    <row r="2227" spans="1:21">
      <c r="A2227" s="6"/>
      <c r="B2227" s="11" t="s">
        <v>42</v>
      </c>
      <c r="C2227" s="7" t="s">
        <v>41</v>
      </c>
      <c r="D2227" s="7"/>
      <c r="E2227" s="7"/>
      <c r="F2227" s="7">
        <f t="shared" si="389"/>
        <v>53</v>
      </c>
      <c r="G2227" s="8"/>
      <c r="H2227" s="7">
        <f t="shared" si="390"/>
        <v>0</v>
      </c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9">
        <f t="shared" si="387"/>
        <v>53</v>
      </c>
      <c r="T2227" s="10">
        <f t="shared" si="388"/>
        <v>0</v>
      </c>
      <c r="U2227" s="10"/>
    </row>
    <row r="2228" spans="1:21">
      <c r="A2228" s="6"/>
      <c r="B2228" s="11" t="s">
        <v>43</v>
      </c>
      <c r="C2228" s="7" t="s">
        <v>41</v>
      </c>
      <c r="D2228" s="7"/>
      <c r="E2228" s="7"/>
      <c r="F2228" s="7">
        <f t="shared" si="389"/>
        <v>0</v>
      </c>
      <c r="G2228" s="8"/>
      <c r="H2228" s="7">
        <f t="shared" si="390"/>
        <v>0</v>
      </c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9">
        <f t="shared" si="387"/>
        <v>0</v>
      </c>
      <c r="T2228" s="10">
        <f t="shared" si="388"/>
        <v>0</v>
      </c>
      <c r="U2228" s="10"/>
    </row>
    <row r="2229" spans="1:21">
      <c r="A2229" s="6"/>
      <c r="B2229" s="11" t="s">
        <v>44</v>
      </c>
      <c r="C2229" s="7" t="s">
        <v>41</v>
      </c>
      <c r="D2229" s="7"/>
      <c r="E2229" s="7"/>
      <c r="F2229" s="7">
        <f t="shared" si="389"/>
        <v>75</v>
      </c>
      <c r="G2229" s="8"/>
      <c r="H2229" s="7">
        <f t="shared" si="390"/>
        <v>0</v>
      </c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9">
        <f t="shared" si="387"/>
        <v>75</v>
      </c>
      <c r="T2229" s="10">
        <f t="shared" si="388"/>
        <v>0</v>
      </c>
      <c r="U2229" s="10"/>
    </row>
    <row r="2230" spans="1:21">
      <c r="A2230" s="6"/>
      <c r="B2230" s="11" t="s">
        <v>45</v>
      </c>
      <c r="C2230" s="7" t="s">
        <v>41</v>
      </c>
      <c r="D2230" s="7"/>
      <c r="E2230" s="7"/>
      <c r="F2230" s="7">
        <f t="shared" si="389"/>
        <v>0</v>
      </c>
      <c r="G2230" s="8"/>
      <c r="H2230" s="7">
        <f t="shared" si="390"/>
        <v>0</v>
      </c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9">
        <f t="shared" si="387"/>
        <v>0</v>
      </c>
      <c r="T2230" s="10">
        <f t="shared" si="388"/>
        <v>0</v>
      </c>
      <c r="U2230" s="10"/>
    </row>
    <row r="2231" spans="1:21">
      <c r="A2231" s="6"/>
      <c r="B2231" s="11" t="s">
        <v>46</v>
      </c>
      <c r="C2231" s="7" t="s">
        <v>41</v>
      </c>
      <c r="D2231" s="7"/>
      <c r="E2231" s="7"/>
      <c r="F2231" s="7">
        <f t="shared" si="389"/>
        <v>17</v>
      </c>
      <c r="G2231" s="8"/>
      <c r="H2231" s="7">
        <f t="shared" si="390"/>
        <v>0</v>
      </c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9">
        <f t="shared" si="387"/>
        <v>17</v>
      </c>
      <c r="T2231" s="10">
        <f t="shared" si="388"/>
        <v>0</v>
      </c>
      <c r="U2231" s="10"/>
    </row>
    <row r="2232" spans="1:21">
      <c r="A2232" s="6"/>
      <c r="B2232" s="11" t="s">
        <v>47</v>
      </c>
      <c r="C2232" s="7" t="s">
        <v>26</v>
      </c>
      <c r="D2232" s="7"/>
      <c r="E2232" s="7"/>
      <c r="F2232" s="7">
        <f t="shared" si="389"/>
        <v>0</v>
      </c>
      <c r="G2232" s="8"/>
      <c r="H2232" s="7">
        <f t="shared" si="390"/>
        <v>0</v>
      </c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9">
        <f t="shared" si="387"/>
        <v>0</v>
      </c>
      <c r="T2232" s="10">
        <f t="shared" si="388"/>
        <v>0</v>
      </c>
      <c r="U2232" s="10"/>
    </row>
    <row r="2233" spans="1:21">
      <c r="A2233" s="6"/>
      <c r="B2233" s="11" t="s">
        <v>48</v>
      </c>
      <c r="C2233" s="7" t="s">
        <v>26</v>
      </c>
      <c r="D2233" s="7"/>
      <c r="E2233" s="7"/>
      <c r="F2233" s="7">
        <f t="shared" si="389"/>
        <v>50</v>
      </c>
      <c r="G2233" s="8"/>
      <c r="H2233" s="7">
        <f t="shared" si="390"/>
        <v>0</v>
      </c>
      <c r="I2233" s="7"/>
      <c r="J2233" s="7"/>
      <c r="K2233" s="7"/>
      <c r="L2233" s="7"/>
      <c r="M2233" s="7">
        <v>6</v>
      </c>
      <c r="N2233" s="7"/>
      <c r="O2233" s="7"/>
      <c r="P2233" s="7"/>
      <c r="Q2233" s="7"/>
      <c r="R2233" s="7"/>
      <c r="S2233" s="9">
        <f t="shared" si="387"/>
        <v>56</v>
      </c>
      <c r="T2233" s="10">
        <f t="shared" si="388"/>
        <v>0</v>
      </c>
      <c r="U2233" s="10"/>
    </row>
    <row r="2234" spans="1:21">
      <c r="A2234" s="6"/>
      <c r="B2234" s="11" t="s">
        <v>50</v>
      </c>
      <c r="C2234" s="7" t="s">
        <v>26</v>
      </c>
      <c r="D2234" s="7"/>
      <c r="E2234" s="7"/>
      <c r="F2234" s="7">
        <f t="shared" si="389"/>
        <v>0</v>
      </c>
      <c r="G2234" s="8"/>
      <c r="H2234" s="7">
        <f t="shared" si="390"/>
        <v>0</v>
      </c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9">
        <f t="shared" si="387"/>
        <v>0</v>
      </c>
      <c r="T2234" s="10">
        <f t="shared" si="388"/>
        <v>0</v>
      </c>
      <c r="U2234" s="10"/>
    </row>
    <row r="2235" spans="1:21">
      <c r="A2235" s="6"/>
      <c r="B2235" s="11" t="s">
        <v>51</v>
      </c>
      <c r="C2235" s="7" t="s">
        <v>26</v>
      </c>
      <c r="D2235" s="7"/>
      <c r="E2235" s="7"/>
      <c r="F2235" s="7">
        <f t="shared" si="389"/>
        <v>0</v>
      </c>
      <c r="G2235" s="8"/>
      <c r="H2235" s="7">
        <f t="shared" si="390"/>
        <v>0</v>
      </c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9">
        <f t="shared" si="387"/>
        <v>0</v>
      </c>
      <c r="T2235" s="10">
        <f t="shared" si="388"/>
        <v>0</v>
      </c>
      <c r="U2235" s="10"/>
    </row>
    <row r="2236" spans="1:21">
      <c r="A2236" s="6"/>
      <c r="B2236" s="11" t="s">
        <v>52</v>
      </c>
      <c r="C2236" s="7" t="s">
        <v>26</v>
      </c>
      <c r="D2236" s="7"/>
      <c r="E2236" s="7"/>
      <c r="F2236" s="7">
        <f t="shared" si="389"/>
        <v>76</v>
      </c>
      <c r="G2236" s="8"/>
      <c r="H2236" s="7">
        <f t="shared" si="390"/>
        <v>0</v>
      </c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9">
        <f t="shared" si="387"/>
        <v>76</v>
      </c>
      <c r="T2236" s="10">
        <f t="shared" si="388"/>
        <v>0</v>
      </c>
      <c r="U2236" s="10"/>
    </row>
    <row r="2237" spans="1:21">
      <c r="A2237" s="6"/>
      <c r="B2237" s="11" t="s">
        <v>53</v>
      </c>
      <c r="C2237" s="7" t="s">
        <v>54</v>
      </c>
      <c r="D2237" s="7"/>
      <c r="E2237" s="7"/>
      <c r="F2237" s="7">
        <f t="shared" si="389"/>
        <v>0</v>
      </c>
      <c r="G2237" s="8"/>
      <c r="H2237" s="7">
        <f t="shared" si="390"/>
        <v>0</v>
      </c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9">
        <f t="shared" si="387"/>
        <v>0</v>
      </c>
      <c r="T2237" s="10">
        <f t="shared" si="388"/>
        <v>0</v>
      </c>
      <c r="U2237" s="10"/>
    </row>
    <row r="2238" spans="1:21">
      <c r="A2238" s="6"/>
      <c r="B2238" s="11" t="s">
        <v>55</v>
      </c>
      <c r="C2238" s="7" t="s">
        <v>54</v>
      </c>
      <c r="D2238" s="7"/>
      <c r="E2238" s="7"/>
      <c r="F2238" s="7">
        <f t="shared" si="389"/>
        <v>15</v>
      </c>
      <c r="G2238" s="8"/>
      <c r="H2238" s="7">
        <f t="shared" si="390"/>
        <v>0</v>
      </c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9">
        <f t="shared" si="387"/>
        <v>15</v>
      </c>
      <c r="T2238" s="10">
        <f t="shared" si="388"/>
        <v>0</v>
      </c>
      <c r="U2238" s="10"/>
    </row>
    <row r="2239" spans="1:21">
      <c r="A2239" s="6"/>
      <c r="B2239" s="11" t="s">
        <v>56</v>
      </c>
      <c r="C2239" s="7" t="s">
        <v>54</v>
      </c>
      <c r="D2239" s="7"/>
      <c r="E2239" s="7"/>
      <c r="F2239" s="7">
        <f t="shared" si="389"/>
        <v>3209</v>
      </c>
      <c r="G2239" s="8"/>
      <c r="H2239" s="7">
        <f t="shared" si="390"/>
        <v>0</v>
      </c>
      <c r="I2239" s="7"/>
      <c r="J2239" s="7">
        <v>180</v>
      </c>
      <c r="K2239" s="7"/>
      <c r="L2239" s="7"/>
      <c r="M2239" s="7"/>
      <c r="N2239" s="7"/>
      <c r="O2239" s="7"/>
      <c r="P2239" s="7"/>
      <c r="Q2239" s="7"/>
      <c r="R2239" s="7"/>
      <c r="S2239" s="9">
        <f t="shared" si="387"/>
        <v>3029</v>
      </c>
      <c r="T2239" s="10">
        <f t="shared" si="388"/>
        <v>0</v>
      </c>
      <c r="U2239" s="10"/>
    </row>
    <row r="2240" spans="1:21">
      <c r="A2240" s="6"/>
      <c r="B2240" s="11" t="s">
        <v>57</v>
      </c>
      <c r="C2240" s="7" t="s">
        <v>54</v>
      </c>
      <c r="D2240" s="7"/>
      <c r="E2240" s="7"/>
      <c r="F2240" s="7">
        <f t="shared" si="389"/>
        <v>704</v>
      </c>
      <c r="G2240" s="8"/>
      <c r="H2240" s="7">
        <f t="shared" si="390"/>
        <v>0</v>
      </c>
      <c r="I2240" s="7"/>
      <c r="J2240" s="7">
        <v>300</v>
      </c>
      <c r="K2240" s="7"/>
      <c r="L2240" s="7">
        <v>36</v>
      </c>
      <c r="M2240" s="7">
        <v>38</v>
      </c>
      <c r="N2240" s="7"/>
      <c r="O2240" s="7"/>
      <c r="P2240" s="7"/>
      <c r="Q2240" s="7"/>
      <c r="R2240" s="7"/>
      <c r="S2240" s="9">
        <f t="shared" si="387"/>
        <v>406</v>
      </c>
      <c r="T2240" s="10">
        <f t="shared" si="388"/>
        <v>0</v>
      </c>
      <c r="U2240" s="10"/>
    </row>
    <row r="2241" spans="1:21">
      <c r="A2241" s="6"/>
      <c r="B2241" s="11" t="s">
        <v>58</v>
      </c>
      <c r="C2241" s="7" t="s">
        <v>54</v>
      </c>
      <c r="D2241" s="7"/>
      <c r="E2241" s="7"/>
      <c r="F2241" s="7">
        <f t="shared" si="389"/>
        <v>0</v>
      </c>
      <c r="G2241" s="8"/>
      <c r="H2241" s="7">
        <f t="shared" si="390"/>
        <v>0</v>
      </c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9">
        <f t="shared" si="387"/>
        <v>0</v>
      </c>
      <c r="T2241" s="10">
        <f t="shared" si="388"/>
        <v>0</v>
      </c>
      <c r="U2241" s="10"/>
    </row>
    <row r="2242" spans="1:21">
      <c r="A2242" s="6"/>
      <c r="B2242" s="11" t="s">
        <v>59</v>
      </c>
      <c r="C2242" s="7" t="s">
        <v>54</v>
      </c>
      <c r="D2242" s="7"/>
      <c r="E2242" s="7"/>
      <c r="F2242" s="7">
        <f t="shared" si="389"/>
        <v>19</v>
      </c>
      <c r="G2242" s="8"/>
      <c r="H2242" s="7">
        <f t="shared" si="390"/>
        <v>0</v>
      </c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9">
        <f t="shared" si="387"/>
        <v>19</v>
      </c>
      <c r="T2242" s="10">
        <f t="shared" si="388"/>
        <v>0</v>
      </c>
      <c r="U2242" s="10"/>
    </row>
    <row r="2243" spans="1:21">
      <c r="A2243" s="6"/>
      <c r="B2243" s="11" t="s">
        <v>60</v>
      </c>
      <c r="C2243" s="7" t="s">
        <v>61</v>
      </c>
      <c r="D2243" s="7"/>
      <c r="E2243" s="7"/>
      <c r="F2243" s="7">
        <f t="shared" si="389"/>
        <v>0</v>
      </c>
      <c r="G2243" s="8"/>
      <c r="H2243" s="7">
        <f t="shared" si="390"/>
        <v>0</v>
      </c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9">
        <f t="shared" si="387"/>
        <v>0</v>
      </c>
      <c r="T2243" s="10">
        <f t="shared" si="388"/>
        <v>0</v>
      </c>
      <c r="U2243" s="10"/>
    </row>
    <row r="2244" spans="1:21">
      <c r="A2244" s="6"/>
      <c r="B2244" s="11" t="s">
        <v>62</v>
      </c>
      <c r="C2244" s="7" t="s">
        <v>61</v>
      </c>
      <c r="D2244" s="7"/>
      <c r="E2244" s="7"/>
      <c r="F2244" s="7">
        <f t="shared" si="389"/>
        <v>11</v>
      </c>
      <c r="G2244" s="8"/>
      <c r="H2244" s="7">
        <f t="shared" si="390"/>
        <v>0</v>
      </c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9">
        <f t="shared" si="387"/>
        <v>11</v>
      </c>
      <c r="T2244" s="10">
        <f t="shared" si="388"/>
        <v>0</v>
      </c>
      <c r="U2244" s="10"/>
    </row>
    <row r="2245" spans="1:21">
      <c r="A2245" s="6"/>
      <c r="B2245" s="10" t="s">
        <v>63</v>
      </c>
      <c r="C2245" s="10" t="s">
        <v>41</v>
      </c>
      <c r="D2245" s="7"/>
      <c r="E2245" s="7"/>
      <c r="F2245" s="7">
        <f t="shared" si="389"/>
        <v>0</v>
      </c>
      <c r="G2245" s="8"/>
      <c r="H2245" s="7">
        <f t="shared" si="390"/>
        <v>0</v>
      </c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9">
        <f t="shared" si="387"/>
        <v>0</v>
      </c>
      <c r="T2245" s="10">
        <f t="shared" si="388"/>
        <v>0</v>
      </c>
      <c r="U2245" s="10"/>
    </row>
    <row r="2246" spans="1:21">
      <c r="A2246" s="6"/>
      <c r="B2246" s="10" t="s">
        <v>64</v>
      </c>
      <c r="C2246" s="10" t="s">
        <v>41</v>
      </c>
      <c r="D2246" s="7"/>
      <c r="E2246" s="7"/>
      <c r="F2246" s="7">
        <f t="shared" si="389"/>
        <v>5</v>
      </c>
      <c r="G2246" s="8"/>
      <c r="H2246" s="7">
        <f t="shared" si="390"/>
        <v>0</v>
      </c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9">
        <f t="shared" si="387"/>
        <v>5</v>
      </c>
      <c r="T2246" s="10">
        <f t="shared" si="388"/>
        <v>0</v>
      </c>
      <c r="U2246" s="10"/>
    </row>
    <row r="2247" spans="1:21">
      <c r="A2247" s="6"/>
      <c r="B2247" s="11" t="s">
        <v>65</v>
      </c>
      <c r="C2247" s="7" t="s">
        <v>26</v>
      </c>
      <c r="D2247" s="7"/>
      <c r="E2247" s="7"/>
      <c r="F2247" s="7">
        <f t="shared" si="389"/>
        <v>0</v>
      </c>
      <c r="G2247" s="8"/>
      <c r="H2247" s="7">
        <f t="shared" si="390"/>
        <v>0</v>
      </c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9">
        <f t="shared" si="387"/>
        <v>0</v>
      </c>
      <c r="T2247" s="10">
        <f t="shared" si="388"/>
        <v>0</v>
      </c>
      <c r="U2247" s="10"/>
    </row>
    <row r="2248" ht="14.25" spans="1:21">
      <c r="A2248" s="6"/>
      <c r="B2248" s="11" t="s">
        <v>66</v>
      </c>
      <c r="C2248" s="7" t="s">
        <v>26</v>
      </c>
      <c r="D2248" s="7"/>
      <c r="E2248" s="7"/>
      <c r="F2248" s="7">
        <f t="shared" si="389"/>
        <v>71</v>
      </c>
      <c r="G2248" s="8"/>
      <c r="H2248" s="7">
        <f t="shared" si="390"/>
        <v>0</v>
      </c>
      <c r="I2248" s="7"/>
      <c r="J2248" s="7"/>
      <c r="K2248" s="7"/>
      <c r="L2248" s="7"/>
      <c r="M2248" s="19"/>
      <c r="N2248" s="7"/>
      <c r="O2248" s="7"/>
      <c r="P2248" s="7"/>
      <c r="Q2248" s="7"/>
      <c r="R2248" s="7"/>
      <c r="S2248" s="9">
        <f t="shared" si="387"/>
        <v>71</v>
      </c>
      <c r="T2248" s="10">
        <f t="shared" si="388"/>
        <v>0</v>
      </c>
      <c r="U2248" s="10"/>
    </row>
    <row r="2249" spans="1:21">
      <c r="A2249" s="6"/>
      <c r="B2249" s="11" t="s">
        <v>67</v>
      </c>
      <c r="C2249" s="7" t="s">
        <v>26</v>
      </c>
      <c r="D2249" s="7"/>
      <c r="E2249" s="7"/>
      <c r="F2249" s="7">
        <f t="shared" si="389"/>
        <v>0</v>
      </c>
      <c r="G2249" s="8"/>
      <c r="H2249" s="7">
        <f t="shared" si="390"/>
        <v>0</v>
      </c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9">
        <f t="shared" si="387"/>
        <v>0</v>
      </c>
      <c r="T2249" s="10">
        <f t="shared" si="388"/>
        <v>0</v>
      </c>
      <c r="U2249" s="10"/>
    </row>
    <row r="2250" spans="1:21">
      <c r="A2250" s="6"/>
      <c r="B2250" s="11" t="s">
        <v>68</v>
      </c>
      <c r="C2250" s="7" t="s">
        <v>26</v>
      </c>
      <c r="D2250" s="7"/>
      <c r="E2250" s="7"/>
      <c r="F2250" s="7">
        <f t="shared" si="389"/>
        <v>7</v>
      </c>
      <c r="G2250" s="8"/>
      <c r="H2250" s="7">
        <f t="shared" si="390"/>
        <v>0</v>
      </c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9">
        <f t="shared" si="387"/>
        <v>7</v>
      </c>
      <c r="T2250" s="10">
        <f t="shared" si="388"/>
        <v>0</v>
      </c>
      <c r="U2250" s="10"/>
    </row>
    <row r="2251" spans="1:21">
      <c r="A2251" s="6"/>
      <c r="B2251" s="11" t="s">
        <v>69</v>
      </c>
      <c r="C2251" s="7" t="s">
        <v>41</v>
      </c>
      <c r="D2251" s="7"/>
      <c r="E2251" s="7"/>
      <c r="F2251" s="7">
        <f t="shared" si="389"/>
        <v>0</v>
      </c>
      <c r="G2251" s="8"/>
      <c r="H2251" s="7">
        <f t="shared" si="390"/>
        <v>0</v>
      </c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9">
        <f t="shared" si="387"/>
        <v>0</v>
      </c>
      <c r="T2251" s="10">
        <f t="shared" si="388"/>
        <v>0</v>
      </c>
      <c r="U2251" s="10"/>
    </row>
    <row r="2252" spans="1:21">
      <c r="A2252" s="6"/>
      <c r="B2252" s="11" t="s">
        <v>70</v>
      </c>
      <c r="C2252" s="7" t="s">
        <v>41</v>
      </c>
      <c r="D2252" s="7"/>
      <c r="E2252" s="7"/>
      <c r="F2252" s="7">
        <f t="shared" si="389"/>
        <v>13</v>
      </c>
      <c r="G2252" s="8"/>
      <c r="H2252" s="7">
        <f t="shared" si="390"/>
        <v>0</v>
      </c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9">
        <f t="shared" si="387"/>
        <v>13</v>
      </c>
      <c r="T2252" s="10">
        <f t="shared" si="388"/>
        <v>0</v>
      </c>
      <c r="U2252" s="10"/>
    </row>
    <row r="2253" spans="1:21">
      <c r="A2253" s="6"/>
      <c r="B2253" s="11" t="s">
        <v>71</v>
      </c>
      <c r="C2253" s="7" t="s">
        <v>61</v>
      </c>
      <c r="D2253" s="7"/>
      <c r="E2253" s="7"/>
      <c r="F2253" s="7">
        <f t="shared" si="389"/>
        <v>0</v>
      </c>
      <c r="G2253" s="8"/>
      <c r="H2253" s="7">
        <f t="shared" si="390"/>
        <v>0</v>
      </c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9">
        <f t="shared" si="387"/>
        <v>0</v>
      </c>
      <c r="T2253" s="10">
        <f t="shared" si="388"/>
        <v>0</v>
      </c>
      <c r="U2253" s="10"/>
    </row>
    <row r="2254" spans="1:21">
      <c r="A2254" s="6"/>
      <c r="B2254" s="11" t="s">
        <v>72</v>
      </c>
      <c r="C2254" s="7" t="s">
        <v>61</v>
      </c>
      <c r="D2254" s="7"/>
      <c r="E2254" s="7"/>
      <c r="F2254" s="7">
        <f t="shared" si="389"/>
        <v>8</v>
      </c>
      <c r="G2254" s="8"/>
      <c r="H2254" s="7">
        <f t="shared" si="390"/>
        <v>0</v>
      </c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9">
        <f t="shared" si="387"/>
        <v>8</v>
      </c>
      <c r="T2254" s="10">
        <f t="shared" si="388"/>
        <v>0</v>
      </c>
      <c r="U2254" s="10"/>
    </row>
    <row r="2255" spans="1:21">
      <c r="A2255" s="6"/>
      <c r="B2255" s="11" t="s">
        <v>73</v>
      </c>
      <c r="C2255" s="7" t="s">
        <v>26</v>
      </c>
      <c r="D2255" s="7"/>
      <c r="E2255" s="7"/>
      <c r="F2255" s="7">
        <f t="shared" si="389"/>
        <v>0</v>
      </c>
      <c r="G2255" s="8"/>
      <c r="H2255" s="7">
        <f t="shared" si="390"/>
        <v>0</v>
      </c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9">
        <f t="shared" si="387"/>
        <v>0</v>
      </c>
      <c r="T2255" s="10">
        <f t="shared" si="388"/>
        <v>0</v>
      </c>
      <c r="U2255" s="10"/>
    </row>
    <row r="2256" spans="1:21">
      <c r="A2256" s="6"/>
      <c r="B2256" s="11" t="s">
        <v>74</v>
      </c>
      <c r="C2256" s="7" t="s">
        <v>26</v>
      </c>
      <c r="D2256" s="7"/>
      <c r="E2256" s="7"/>
      <c r="F2256" s="7">
        <f t="shared" si="389"/>
        <v>22</v>
      </c>
      <c r="G2256" s="8"/>
      <c r="H2256" s="7">
        <f t="shared" si="390"/>
        <v>0</v>
      </c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9">
        <f t="shared" si="387"/>
        <v>22</v>
      </c>
      <c r="T2256" s="10">
        <f t="shared" si="388"/>
        <v>0</v>
      </c>
      <c r="U2256" s="10"/>
    </row>
    <row r="2257" spans="1:21">
      <c r="A2257" s="6"/>
      <c r="B2257" s="11" t="s">
        <v>75</v>
      </c>
      <c r="C2257" s="7" t="s">
        <v>26</v>
      </c>
      <c r="D2257" s="7"/>
      <c r="E2257" s="7"/>
      <c r="F2257" s="7">
        <f t="shared" si="389"/>
        <v>0</v>
      </c>
      <c r="G2257" s="8"/>
      <c r="H2257" s="7">
        <f t="shared" si="390"/>
        <v>0</v>
      </c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9">
        <f t="shared" si="387"/>
        <v>0</v>
      </c>
      <c r="T2257" s="10">
        <f t="shared" si="388"/>
        <v>0</v>
      </c>
      <c r="U2257" s="10"/>
    </row>
    <row r="2258" spans="1:21">
      <c r="A2258" s="6"/>
      <c r="B2258" s="11" t="s">
        <v>76</v>
      </c>
      <c r="C2258" s="7" t="s">
        <v>26</v>
      </c>
      <c r="D2258" s="7"/>
      <c r="E2258" s="7"/>
      <c r="F2258" s="7">
        <f t="shared" si="389"/>
        <v>20</v>
      </c>
      <c r="G2258" s="8"/>
      <c r="H2258" s="7">
        <f t="shared" si="390"/>
        <v>0</v>
      </c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9">
        <f t="shared" si="387"/>
        <v>20</v>
      </c>
      <c r="T2258" s="10">
        <f t="shared" si="388"/>
        <v>0</v>
      </c>
      <c r="U2258" s="10"/>
    </row>
    <row r="2259" spans="1:21">
      <c r="A2259" s="6"/>
      <c r="B2259" s="11" t="s">
        <v>77</v>
      </c>
      <c r="C2259" s="7" t="s">
        <v>61</v>
      </c>
      <c r="D2259" s="7"/>
      <c r="E2259" s="7"/>
      <c r="F2259" s="7">
        <f t="shared" si="389"/>
        <v>0</v>
      </c>
      <c r="G2259" s="8"/>
      <c r="H2259" s="7">
        <f t="shared" si="390"/>
        <v>0</v>
      </c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9">
        <f t="shared" si="387"/>
        <v>0</v>
      </c>
      <c r="T2259" s="10">
        <f t="shared" si="388"/>
        <v>0</v>
      </c>
      <c r="U2259" s="10"/>
    </row>
    <row r="2260" spans="1:21">
      <c r="A2260" s="6"/>
      <c r="B2260" s="11" t="s">
        <v>78</v>
      </c>
      <c r="C2260" s="7" t="s">
        <v>61</v>
      </c>
      <c r="D2260" s="7"/>
      <c r="E2260" s="7"/>
      <c r="F2260" s="7">
        <f t="shared" si="389"/>
        <v>69</v>
      </c>
      <c r="G2260" s="8"/>
      <c r="H2260" s="7">
        <f t="shared" si="390"/>
        <v>0</v>
      </c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9">
        <f t="shared" si="387"/>
        <v>69</v>
      </c>
      <c r="T2260" s="10">
        <f t="shared" si="388"/>
        <v>0</v>
      </c>
      <c r="U2260" s="10"/>
    </row>
    <row r="2261" spans="1:21">
      <c r="A2261" s="6"/>
      <c r="B2261" s="11" t="s">
        <v>105</v>
      </c>
      <c r="C2261" s="7" t="s">
        <v>26</v>
      </c>
      <c r="D2261" s="7"/>
      <c r="E2261" s="7"/>
      <c r="F2261" s="7">
        <f t="shared" si="389"/>
        <v>1149</v>
      </c>
      <c r="G2261" s="8"/>
      <c r="H2261" s="7">
        <f t="shared" si="390"/>
        <v>0</v>
      </c>
      <c r="I2261" s="7"/>
      <c r="J2261" s="7">
        <v>120</v>
      </c>
      <c r="K2261" s="7"/>
      <c r="L2261" s="7"/>
      <c r="M2261" s="7"/>
      <c r="N2261" s="7"/>
      <c r="O2261" s="7"/>
      <c r="P2261" s="7"/>
      <c r="Q2261" s="7"/>
      <c r="R2261" s="7"/>
      <c r="S2261" s="9">
        <f t="shared" si="387"/>
        <v>1029</v>
      </c>
      <c r="T2261" s="10">
        <f t="shared" si="388"/>
        <v>0</v>
      </c>
      <c r="U2261" s="10"/>
    </row>
    <row r="2262" spans="1:21">
      <c r="A2262" s="6"/>
      <c r="B2262" s="11" t="s">
        <v>80</v>
      </c>
      <c r="C2262" s="7" t="s">
        <v>26</v>
      </c>
      <c r="D2262" s="7"/>
      <c r="E2262" s="7"/>
      <c r="F2262" s="7">
        <f t="shared" si="389"/>
        <v>485</v>
      </c>
      <c r="G2262" s="8"/>
      <c r="H2262" s="7">
        <f t="shared" si="390"/>
        <v>0</v>
      </c>
      <c r="I2262" s="7"/>
      <c r="J2262" s="7"/>
      <c r="K2262" s="7"/>
      <c r="L2262" s="7"/>
      <c r="M2262" s="7">
        <v>26</v>
      </c>
      <c r="N2262" s="7"/>
      <c r="O2262" s="7"/>
      <c r="P2262" s="7"/>
      <c r="Q2262" s="7"/>
      <c r="R2262" s="7"/>
      <c r="S2262" s="9">
        <f t="shared" si="387"/>
        <v>511</v>
      </c>
      <c r="T2262" s="10">
        <f t="shared" si="388"/>
        <v>0</v>
      </c>
      <c r="U2262" s="10"/>
    </row>
    <row r="2263" spans="1:21">
      <c r="A2263" s="6"/>
      <c r="B2263" s="11" t="s">
        <v>81</v>
      </c>
      <c r="C2263" s="7" t="s">
        <v>26</v>
      </c>
      <c r="D2263" s="7"/>
      <c r="E2263" s="7"/>
      <c r="F2263" s="7">
        <f t="shared" si="389"/>
        <v>0</v>
      </c>
      <c r="G2263" s="8"/>
      <c r="H2263" s="7">
        <f t="shared" si="390"/>
        <v>0</v>
      </c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9">
        <f t="shared" ref="S2263:S2322" si="391">F2263+G2263-J2263-K2263-L2263+M2263+O2263-P2263-R2263</f>
        <v>0</v>
      </c>
      <c r="T2263" s="10">
        <f t="shared" ref="T2263:T2322" si="392">H2263+I2263+N2263+R2263-Q2263</f>
        <v>0</v>
      </c>
      <c r="U2263" s="10"/>
    </row>
    <row r="2264" spans="1:21">
      <c r="A2264" s="6"/>
      <c r="B2264" s="11" t="s">
        <v>82</v>
      </c>
      <c r="C2264" s="7" t="s">
        <v>26</v>
      </c>
      <c r="D2264" s="7"/>
      <c r="E2264" s="7"/>
      <c r="F2264" s="7">
        <f t="shared" si="389"/>
        <v>14</v>
      </c>
      <c r="G2264" s="8"/>
      <c r="H2264" s="7">
        <f t="shared" si="390"/>
        <v>0</v>
      </c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9">
        <f t="shared" si="391"/>
        <v>14</v>
      </c>
      <c r="T2264" s="10">
        <f t="shared" si="392"/>
        <v>0</v>
      </c>
      <c r="U2264" s="10"/>
    </row>
    <row r="2265" spans="1:21">
      <c r="A2265" s="6"/>
      <c r="B2265" s="11" t="s">
        <v>83</v>
      </c>
      <c r="C2265" s="7" t="s">
        <v>26</v>
      </c>
      <c r="D2265" s="7"/>
      <c r="E2265" s="7"/>
      <c r="F2265" s="7">
        <f t="shared" si="389"/>
        <v>0</v>
      </c>
      <c r="G2265" s="8"/>
      <c r="H2265" s="7">
        <f t="shared" si="390"/>
        <v>0</v>
      </c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9">
        <f t="shared" si="391"/>
        <v>0</v>
      </c>
      <c r="T2265" s="10">
        <f t="shared" si="392"/>
        <v>0</v>
      </c>
      <c r="U2265" s="10"/>
    </row>
    <row r="2266" spans="1:21">
      <c r="A2266" s="6"/>
      <c r="B2266" s="11" t="s">
        <v>84</v>
      </c>
      <c r="C2266" s="7" t="s">
        <v>26</v>
      </c>
      <c r="D2266" s="7"/>
      <c r="E2266" s="7"/>
      <c r="F2266" s="7">
        <f t="shared" si="389"/>
        <v>28</v>
      </c>
      <c r="G2266" s="8"/>
      <c r="H2266" s="7">
        <f t="shared" si="390"/>
        <v>0</v>
      </c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9">
        <f t="shared" si="391"/>
        <v>28</v>
      </c>
      <c r="T2266" s="10">
        <f t="shared" si="392"/>
        <v>0</v>
      </c>
      <c r="U2266" s="10"/>
    </row>
    <row r="2267" spans="1:21">
      <c r="A2267" s="6"/>
      <c r="B2267" s="11" t="s">
        <v>85</v>
      </c>
      <c r="C2267" s="7" t="s">
        <v>61</v>
      </c>
      <c r="D2267" s="7"/>
      <c r="E2267" s="7"/>
      <c r="F2267" s="7">
        <f t="shared" si="389"/>
        <v>0</v>
      </c>
      <c r="G2267" s="8"/>
      <c r="H2267" s="7">
        <f t="shared" si="390"/>
        <v>0</v>
      </c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9">
        <f t="shared" si="391"/>
        <v>0</v>
      </c>
      <c r="T2267" s="10">
        <f t="shared" si="392"/>
        <v>0</v>
      </c>
      <c r="U2267" s="10"/>
    </row>
    <row r="2268" spans="1:21">
      <c r="A2268" s="6"/>
      <c r="B2268" s="11" t="s">
        <v>86</v>
      </c>
      <c r="C2268" s="7" t="s">
        <v>61</v>
      </c>
      <c r="D2268" s="7"/>
      <c r="E2268" s="7"/>
      <c r="F2268" s="7">
        <f t="shared" si="389"/>
        <v>10</v>
      </c>
      <c r="G2268" s="8"/>
      <c r="H2268" s="7">
        <f t="shared" si="390"/>
        <v>0</v>
      </c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9">
        <f t="shared" si="391"/>
        <v>10</v>
      </c>
      <c r="T2268" s="10">
        <f t="shared" si="392"/>
        <v>0</v>
      </c>
      <c r="U2268" s="10"/>
    </row>
    <row r="2269" spans="1:21">
      <c r="A2269" s="6"/>
      <c r="B2269" s="11" t="s">
        <v>87</v>
      </c>
      <c r="C2269" s="7" t="s">
        <v>26</v>
      </c>
      <c r="D2269" s="7"/>
      <c r="E2269" s="7"/>
      <c r="F2269" s="7">
        <f t="shared" si="389"/>
        <v>0</v>
      </c>
      <c r="G2269" s="8"/>
      <c r="H2269" s="7">
        <f t="shared" si="390"/>
        <v>0</v>
      </c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9">
        <f t="shared" si="391"/>
        <v>0</v>
      </c>
      <c r="T2269" s="10">
        <f t="shared" si="392"/>
        <v>0</v>
      </c>
      <c r="U2269" s="10"/>
    </row>
    <row r="2270" spans="1:21">
      <c r="A2270" s="6"/>
      <c r="B2270" s="11" t="s">
        <v>88</v>
      </c>
      <c r="C2270" s="7"/>
      <c r="D2270" s="7"/>
      <c r="E2270" s="7"/>
      <c r="F2270" s="7">
        <f t="shared" si="389"/>
        <v>7</v>
      </c>
      <c r="G2270" s="8"/>
      <c r="H2270" s="7">
        <f t="shared" si="390"/>
        <v>0</v>
      </c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9">
        <f t="shared" si="391"/>
        <v>7</v>
      </c>
      <c r="T2270" s="10">
        <f t="shared" si="392"/>
        <v>0</v>
      </c>
      <c r="U2270" s="10"/>
    </row>
    <row r="2271" spans="1:21">
      <c r="A2271" s="6"/>
      <c r="B2271" s="11" t="s">
        <v>89</v>
      </c>
      <c r="C2271" s="7" t="s">
        <v>26</v>
      </c>
      <c r="D2271" s="7"/>
      <c r="E2271" s="7"/>
      <c r="F2271" s="7">
        <f t="shared" si="389"/>
        <v>858</v>
      </c>
      <c r="G2271" s="8"/>
      <c r="H2271" s="7">
        <f t="shared" si="390"/>
        <v>0</v>
      </c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9">
        <f t="shared" si="391"/>
        <v>858</v>
      </c>
      <c r="T2271" s="10">
        <f t="shared" si="392"/>
        <v>0</v>
      </c>
      <c r="U2271" s="10"/>
    </row>
    <row r="2272" spans="1:21">
      <c r="A2272" s="6"/>
      <c r="B2272" s="11" t="s">
        <v>90</v>
      </c>
      <c r="C2272" s="7" t="s">
        <v>26</v>
      </c>
      <c r="D2272" s="7"/>
      <c r="E2272" s="7"/>
      <c r="F2272" s="7">
        <f t="shared" si="389"/>
        <v>0</v>
      </c>
      <c r="G2272" s="8"/>
      <c r="H2272" s="7">
        <f t="shared" si="390"/>
        <v>0</v>
      </c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9">
        <f t="shared" si="391"/>
        <v>0</v>
      </c>
      <c r="T2272" s="10">
        <f t="shared" si="392"/>
        <v>0</v>
      </c>
      <c r="U2272" s="10"/>
    </row>
    <row r="2273" spans="1:21">
      <c r="A2273" s="6"/>
      <c r="B2273" s="11" t="s">
        <v>91</v>
      </c>
      <c r="C2273" s="7" t="s">
        <v>26</v>
      </c>
      <c r="D2273" s="7"/>
      <c r="E2273" s="7"/>
      <c r="F2273" s="7">
        <f t="shared" si="389"/>
        <v>138</v>
      </c>
      <c r="G2273" s="8"/>
      <c r="H2273" s="7">
        <f t="shared" si="390"/>
        <v>0</v>
      </c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9">
        <f t="shared" si="391"/>
        <v>138</v>
      </c>
      <c r="T2273" s="10">
        <f t="shared" si="392"/>
        <v>0</v>
      </c>
      <c r="U2273" s="10"/>
    </row>
    <row r="2274" spans="1:21">
      <c r="A2274" s="6"/>
      <c r="B2274" s="12" t="s">
        <v>92</v>
      </c>
      <c r="C2274" s="13" t="s">
        <v>26</v>
      </c>
      <c r="D2274" s="7"/>
      <c r="E2274" s="7"/>
      <c r="F2274" s="7">
        <f t="shared" si="389"/>
        <v>1436</v>
      </c>
      <c r="G2274" s="8"/>
      <c r="H2274" s="7">
        <f t="shared" si="390"/>
        <v>0</v>
      </c>
      <c r="I2274" s="7"/>
      <c r="J2274" s="7">
        <v>440</v>
      </c>
      <c r="K2274" s="7"/>
      <c r="L2274" s="7"/>
      <c r="M2274" s="7"/>
      <c r="N2274" s="7"/>
      <c r="O2274" s="7">
        <v>20</v>
      </c>
      <c r="P2274" s="7"/>
      <c r="Q2274" s="7"/>
      <c r="R2274" s="7"/>
      <c r="S2274" s="9">
        <f t="shared" si="391"/>
        <v>1016</v>
      </c>
      <c r="T2274" s="10">
        <f t="shared" si="392"/>
        <v>0</v>
      </c>
      <c r="U2274" s="10"/>
    </row>
    <row r="2275" spans="1:21">
      <c r="A2275" s="6"/>
      <c r="B2275" s="12" t="s">
        <v>93</v>
      </c>
      <c r="C2275" s="13" t="s">
        <v>26</v>
      </c>
      <c r="D2275" s="7"/>
      <c r="E2275" s="7"/>
      <c r="F2275" s="7">
        <f t="shared" si="389"/>
        <v>1666</v>
      </c>
      <c r="G2275" s="8"/>
      <c r="H2275" s="7">
        <f t="shared" si="390"/>
        <v>0</v>
      </c>
      <c r="I2275" s="7"/>
      <c r="J2275" s="7"/>
      <c r="K2275" s="7"/>
      <c r="L2275" s="7"/>
      <c r="M2275" s="7"/>
      <c r="N2275" s="7"/>
      <c r="O2275" s="7">
        <v>48</v>
      </c>
      <c r="P2275" s="7"/>
      <c r="Q2275" s="7"/>
      <c r="R2275" s="7"/>
      <c r="S2275" s="9">
        <f t="shared" si="391"/>
        <v>1714</v>
      </c>
      <c r="T2275" s="10">
        <f t="shared" si="392"/>
        <v>0</v>
      </c>
      <c r="U2275" s="10"/>
    </row>
    <row r="2276" spans="1:21">
      <c r="A2276" s="6"/>
      <c r="B2276" s="11" t="s">
        <v>94</v>
      </c>
      <c r="C2276" s="7" t="s">
        <v>41</v>
      </c>
      <c r="D2276" s="7"/>
      <c r="E2276" s="7"/>
      <c r="F2276" s="7">
        <f t="shared" si="389"/>
        <v>0</v>
      </c>
      <c r="G2276" s="8"/>
      <c r="H2276" s="7">
        <f t="shared" si="390"/>
        <v>0</v>
      </c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9">
        <f t="shared" si="391"/>
        <v>0</v>
      </c>
      <c r="T2276" s="10">
        <f t="shared" si="392"/>
        <v>0</v>
      </c>
      <c r="U2276" s="10"/>
    </row>
    <row r="2277" spans="1:21">
      <c r="A2277" s="6"/>
      <c r="B2277" s="11" t="s">
        <v>95</v>
      </c>
      <c r="C2277" s="7" t="s">
        <v>41</v>
      </c>
      <c r="D2277" s="7"/>
      <c r="E2277" s="7"/>
      <c r="F2277" s="7">
        <f t="shared" si="389"/>
        <v>39</v>
      </c>
      <c r="G2277" s="8"/>
      <c r="H2277" s="7">
        <f t="shared" si="390"/>
        <v>0</v>
      </c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9">
        <f t="shared" si="391"/>
        <v>39</v>
      </c>
      <c r="T2277" s="10">
        <f t="shared" si="392"/>
        <v>0</v>
      </c>
      <c r="U2277" s="10"/>
    </row>
    <row r="2278" spans="1:21">
      <c r="A2278" s="6"/>
      <c r="B2278" s="11" t="s">
        <v>96</v>
      </c>
      <c r="C2278" s="7" t="s">
        <v>41</v>
      </c>
      <c r="D2278" s="7"/>
      <c r="E2278" s="7"/>
      <c r="F2278" s="7">
        <f t="shared" si="389"/>
        <v>0</v>
      </c>
      <c r="G2278" s="8"/>
      <c r="H2278" s="7">
        <f t="shared" si="390"/>
        <v>0</v>
      </c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9">
        <f t="shared" si="391"/>
        <v>0</v>
      </c>
      <c r="T2278" s="10">
        <f t="shared" si="392"/>
        <v>0</v>
      </c>
      <c r="U2278" s="10"/>
    </row>
    <row r="2279" spans="1:21">
      <c r="A2279" s="6"/>
      <c r="B2279" s="11" t="s">
        <v>97</v>
      </c>
      <c r="C2279" s="7" t="s">
        <v>41</v>
      </c>
      <c r="D2279" s="7"/>
      <c r="E2279" s="7"/>
      <c r="F2279" s="7">
        <f t="shared" si="389"/>
        <v>0</v>
      </c>
      <c r="G2279" s="8"/>
      <c r="H2279" s="7">
        <f t="shared" si="390"/>
        <v>0</v>
      </c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9">
        <f t="shared" si="391"/>
        <v>0</v>
      </c>
      <c r="T2279" s="10">
        <f t="shared" si="392"/>
        <v>0</v>
      </c>
      <c r="U2279" s="10"/>
    </row>
    <row r="2280" spans="1:21">
      <c r="A2280" s="6"/>
      <c r="B2280" s="11" t="s">
        <v>98</v>
      </c>
      <c r="C2280" s="7" t="s">
        <v>26</v>
      </c>
      <c r="D2280" s="7"/>
      <c r="E2280" s="7"/>
      <c r="F2280" s="7">
        <f t="shared" si="389"/>
        <v>1099</v>
      </c>
      <c r="G2280" s="8"/>
      <c r="H2280" s="7">
        <f t="shared" si="390"/>
        <v>0</v>
      </c>
      <c r="I2280" s="7"/>
      <c r="J2280" s="7">
        <v>240</v>
      </c>
      <c r="K2280" s="7"/>
      <c r="L2280" s="7"/>
      <c r="M2280" s="7"/>
      <c r="N2280" s="7"/>
      <c r="O2280" s="7"/>
      <c r="P2280" s="7"/>
      <c r="Q2280" s="7"/>
      <c r="R2280" s="7"/>
      <c r="S2280" s="9">
        <f t="shared" si="391"/>
        <v>859</v>
      </c>
      <c r="T2280" s="10">
        <f t="shared" si="392"/>
        <v>0</v>
      </c>
      <c r="U2280" s="10"/>
    </row>
    <row r="2281" spans="1:21">
      <c r="A2281" s="6"/>
      <c r="B2281" s="11" t="s">
        <v>99</v>
      </c>
      <c r="C2281" s="7" t="s">
        <v>26</v>
      </c>
      <c r="D2281" s="7"/>
      <c r="E2281" s="7"/>
      <c r="F2281" s="7">
        <f t="shared" si="389"/>
        <v>83</v>
      </c>
      <c r="G2281" s="8"/>
      <c r="H2281" s="7">
        <f t="shared" si="390"/>
        <v>0</v>
      </c>
      <c r="I2281" s="7"/>
      <c r="J2281" s="7"/>
      <c r="K2281" s="7"/>
      <c r="L2281" s="7"/>
      <c r="M2281" s="7">
        <v>40</v>
      </c>
      <c r="N2281" s="7"/>
      <c r="O2281" s="7"/>
      <c r="P2281" s="7"/>
      <c r="Q2281" s="7"/>
      <c r="R2281" s="7"/>
      <c r="S2281" s="9">
        <f t="shared" si="391"/>
        <v>123</v>
      </c>
      <c r="T2281" s="10">
        <f t="shared" si="392"/>
        <v>0</v>
      </c>
      <c r="U2281" s="10"/>
    </row>
    <row r="2282" spans="1:21">
      <c r="A2282" s="6"/>
      <c r="B2282" s="11" t="s">
        <v>100</v>
      </c>
      <c r="C2282" s="7" t="s">
        <v>26</v>
      </c>
      <c r="D2282" s="7"/>
      <c r="E2282" s="7"/>
      <c r="F2282" s="7">
        <f t="shared" si="389"/>
        <v>182</v>
      </c>
      <c r="G2282" s="8"/>
      <c r="H2282" s="7">
        <f t="shared" si="390"/>
        <v>0</v>
      </c>
      <c r="I2282" s="7"/>
      <c r="J2282" s="7">
        <v>120</v>
      </c>
      <c r="K2282" s="7"/>
      <c r="L2282" s="7"/>
      <c r="M2282" s="7"/>
      <c r="N2282" s="7"/>
      <c r="O2282" s="7"/>
      <c r="P2282" s="7"/>
      <c r="Q2282" s="7"/>
      <c r="R2282" s="7"/>
      <c r="S2282" s="9">
        <f t="shared" si="391"/>
        <v>62</v>
      </c>
      <c r="T2282" s="10">
        <f t="shared" si="392"/>
        <v>0</v>
      </c>
      <c r="U2282" s="10"/>
    </row>
    <row r="2283" spans="1:21">
      <c r="A2283" s="6"/>
      <c r="B2283" s="11" t="s">
        <v>101</v>
      </c>
      <c r="C2283" s="7" t="s">
        <v>26</v>
      </c>
      <c r="D2283" s="7"/>
      <c r="E2283" s="7"/>
      <c r="F2283" s="7">
        <f t="shared" si="389"/>
        <v>144</v>
      </c>
      <c r="G2283" s="8"/>
      <c r="H2283" s="7">
        <f t="shared" si="390"/>
        <v>0</v>
      </c>
      <c r="I2283" s="7"/>
      <c r="J2283" s="7"/>
      <c r="K2283" s="7"/>
      <c r="L2283" s="7"/>
      <c r="M2283" s="7">
        <v>67</v>
      </c>
      <c r="N2283" s="7"/>
      <c r="O2283" s="7"/>
      <c r="P2283" s="7"/>
      <c r="Q2283" s="7"/>
      <c r="R2283" s="7"/>
      <c r="S2283" s="9">
        <f t="shared" si="391"/>
        <v>211</v>
      </c>
      <c r="T2283" s="10">
        <f t="shared" si="392"/>
        <v>0</v>
      </c>
      <c r="U2283" s="10"/>
    </row>
    <row r="2284" spans="1:21">
      <c r="A2284" s="6"/>
      <c r="B2284" s="11" t="s">
        <v>102</v>
      </c>
      <c r="C2284" s="7" t="s">
        <v>26</v>
      </c>
      <c r="D2284" s="7"/>
      <c r="E2284" s="7"/>
      <c r="F2284" s="7">
        <f t="shared" si="389"/>
        <v>536</v>
      </c>
      <c r="G2284" s="8"/>
      <c r="H2284" s="7">
        <f t="shared" si="390"/>
        <v>0</v>
      </c>
      <c r="I2284" s="7"/>
      <c r="J2284" s="7">
        <v>149</v>
      </c>
      <c r="K2284" s="7">
        <v>21</v>
      </c>
      <c r="L2284" s="7"/>
      <c r="M2284" s="7"/>
      <c r="N2284" s="7"/>
      <c r="O2284" s="7"/>
      <c r="P2284" s="7"/>
      <c r="Q2284" s="7"/>
      <c r="R2284" s="7"/>
      <c r="S2284" s="9">
        <f t="shared" si="391"/>
        <v>366</v>
      </c>
      <c r="T2284" s="10">
        <f t="shared" si="392"/>
        <v>0</v>
      </c>
      <c r="U2284" s="10"/>
    </row>
    <row r="2285" spans="1:21">
      <c r="A2285" s="6"/>
      <c r="B2285" s="11" t="s">
        <v>103</v>
      </c>
      <c r="C2285" s="7" t="s">
        <v>26</v>
      </c>
      <c r="D2285" s="7"/>
      <c r="E2285" s="7"/>
      <c r="F2285" s="7">
        <f t="shared" si="389"/>
        <v>557</v>
      </c>
      <c r="G2285" s="8"/>
      <c r="H2285" s="7">
        <f t="shared" si="390"/>
        <v>0</v>
      </c>
      <c r="I2285" s="7"/>
      <c r="J2285" s="7"/>
      <c r="K2285" s="7"/>
      <c r="L2285" s="7"/>
      <c r="M2285" s="7">
        <v>20</v>
      </c>
      <c r="N2285" s="7"/>
      <c r="O2285" s="7"/>
      <c r="P2285" s="7"/>
      <c r="Q2285" s="7"/>
      <c r="R2285" s="7"/>
      <c r="S2285" s="9">
        <f t="shared" si="391"/>
        <v>577</v>
      </c>
      <c r="T2285" s="10">
        <f t="shared" si="392"/>
        <v>0</v>
      </c>
      <c r="U2285" s="10"/>
    </row>
    <row r="2286" spans="1:21">
      <c r="A2286" s="6"/>
      <c r="B2286" s="11" t="s">
        <v>112</v>
      </c>
      <c r="C2286" s="7" t="s">
        <v>113</v>
      </c>
      <c r="D2286" s="7"/>
      <c r="E2286" s="7"/>
      <c r="F2286" s="7">
        <f t="shared" si="389"/>
        <v>940</v>
      </c>
      <c r="G2286" s="8"/>
      <c r="H2286" s="7">
        <f t="shared" si="390"/>
        <v>0</v>
      </c>
      <c r="I2286" s="7"/>
      <c r="J2286" s="7">
        <v>40</v>
      </c>
      <c r="K2286" s="7"/>
      <c r="L2286" s="7"/>
      <c r="M2286" s="7"/>
      <c r="N2286" s="7"/>
      <c r="O2286" s="7"/>
      <c r="P2286" s="7"/>
      <c r="Q2286" s="7"/>
      <c r="R2286" s="7"/>
      <c r="S2286" s="9">
        <f t="shared" si="391"/>
        <v>900</v>
      </c>
      <c r="T2286" s="10">
        <f t="shared" si="392"/>
        <v>0</v>
      </c>
      <c r="U2286" s="10"/>
    </row>
    <row r="2287" spans="1:21">
      <c r="A2287" s="6"/>
      <c r="B2287" s="11"/>
      <c r="C2287" s="7"/>
      <c r="D2287" s="7"/>
      <c r="E2287" s="7"/>
      <c r="F2287" s="7">
        <f t="shared" ref="F2287:F2306" si="393">S2202</f>
        <v>0</v>
      </c>
      <c r="G2287" s="8"/>
      <c r="H2287" s="7">
        <f t="shared" si="390"/>
        <v>0</v>
      </c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9">
        <f t="shared" si="391"/>
        <v>0</v>
      </c>
      <c r="T2287" s="10">
        <f t="shared" si="392"/>
        <v>0</v>
      </c>
      <c r="U2287" s="10"/>
    </row>
    <row r="2288" spans="1:21">
      <c r="A2288" s="6"/>
      <c r="B2288" s="11"/>
      <c r="C2288" s="7"/>
      <c r="D2288" s="7"/>
      <c r="E2288" s="7"/>
      <c r="F2288" s="7">
        <f t="shared" si="393"/>
        <v>0</v>
      </c>
      <c r="G2288" s="8"/>
      <c r="H2288" s="7">
        <f t="shared" ref="H2288:H2306" si="394">T2203</f>
        <v>0</v>
      </c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9">
        <f t="shared" si="391"/>
        <v>0</v>
      </c>
      <c r="T2288" s="10">
        <f t="shared" si="392"/>
        <v>0</v>
      </c>
      <c r="U2288" s="10"/>
    </row>
    <row r="2289" spans="1:25">
      <c r="A2289" s="6"/>
      <c r="B2289" s="11"/>
      <c r="C2289" s="7"/>
      <c r="D2289" s="7"/>
      <c r="E2289" s="7"/>
      <c r="F2289" s="7">
        <f t="shared" si="393"/>
        <v>0</v>
      </c>
      <c r="G2289" s="8"/>
      <c r="H2289" s="7">
        <f t="shared" si="394"/>
        <v>0</v>
      </c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9">
        <f t="shared" si="391"/>
        <v>0</v>
      </c>
      <c r="T2289" s="10">
        <f t="shared" si="392"/>
        <v>0</v>
      </c>
      <c r="U2289" s="10"/>
    </row>
    <row r="2290" spans="1:25">
      <c r="A2290" s="6"/>
      <c r="B2290" s="11"/>
      <c r="C2290" s="7"/>
      <c r="D2290" s="7"/>
      <c r="E2290" s="7"/>
      <c r="F2290" s="7">
        <f t="shared" si="393"/>
        <v>0</v>
      </c>
      <c r="G2290" s="8"/>
      <c r="H2290" s="7">
        <f t="shared" si="394"/>
        <v>0</v>
      </c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9">
        <f t="shared" si="391"/>
        <v>0</v>
      </c>
      <c r="T2290" s="10">
        <f t="shared" si="392"/>
        <v>0</v>
      </c>
      <c r="U2290" s="10"/>
    </row>
    <row r="2291" spans="1:25">
      <c r="A2291" s="6"/>
      <c r="B2291" s="11"/>
      <c r="C2291" s="7"/>
      <c r="D2291" s="7"/>
      <c r="E2291" s="7"/>
      <c r="F2291" s="7">
        <f t="shared" si="393"/>
        <v>0</v>
      </c>
      <c r="G2291" s="8"/>
      <c r="H2291" s="7">
        <f t="shared" si="394"/>
        <v>0</v>
      </c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9">
        <f t="shared" si="391"/>
        <v>0</v>
      </c>
      <c r="T2291" s="10">
        <f t="shared" si="392"/>
        <v>0</v>
      </c>
      <c r="U2291" s="10"/>
    </row>
    <row r="2292" spans="1:25">
      <c r="A2292" s="6"/>
      <c r="B2292" s="11"/>
      <c r="C2292" s="7"/>
      <c r="D2292" s="7"/>
      <c r="E2292" s="7"/>
      <c r="F2292" s="7">
        <f t="shared" si="393"/>
        <v>0</v>
      </c>
      <c r="G2292" s="8"/>
      <c r="H2292" s="7">
        <f t="shared" si="394"/>
        <v>0</v>
      </c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9">
        <f t="shared" si="391"/>
        <v>0</v>
      </c>
      <c r="T2292" s="10">
        <f t="shared" si="392"/>
        <v>0</v>
      </c>
      <c r="U2292" s="10"/>
    </row>
    <row r="2293" spans="1:25">
      <c r="A2293" s="6"/>
      <c r="B2293" s="11"/>
      <c r="C2293" s="7"/>
      <c r="D2293" s="7"/>
      <c r="E2293" s="7"/>
      <c r="F2293" s="7">
        <f t="shared" si="393"/>
        <v>0</v>
      </c>
      <c r="G2293" s="8"/>
      <c r="H2293" s="7">
        <f t="shared" si="394"/>
        <v>0</v>
      </c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9">
        <f t="shared" si="391"/>
        <v>0</v>
      </c>
      <c r="T2293" s="10">
        <f t="shared" si="392"/>
        <v>0</v>
      </c>
      <c r="U2293" s="10"/>
    </row>
    <row r="2294" spans="1:25">
      <c r="A2294" s="6"/>
      <c r="B2294" s="11"/>
      <c r="C2294" s="7"/>
      <c r="D2294" s="7"/>
      <c r="E2294" s="7"/>
      <c r="F2294" s="7">
        <f t="shared" si="393"/>
        <v>0</v>
      </c>
      <c r="G2294" s="8"/>
      <c r="H2294" s="7">
        <f t="shared" si="394"/>
        <v>0</v>
      </c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9">
        <f t="shared" si="391"/>
        <v>0</v>
      </c>
      <c r="T2294" s="10">
        <f t="shared" si="392"/>
        <v>0</v>
      </c>
      <c r="U2294" s="10"/>
    </row>
    <row r="2295" spans="1:25">
      <c r="A2295" s="6"/>
      <c r="B2295" s="11"/>
      <c r="C2295" s="7"/>
      <c r="D2295" s="7"/>
      <c r="E2295" s="7"/>
      <c r="F2295" s="7">
        <f t="shared" si="393"/>
        <v>0</v>
      </c>
      <c r="G2295" s="8"/>
      <c r="H2295" s="7">
        <f t="shared" si="394"/>
        <v>0</v>
      </c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9">
        <f t="shared" si="391"/>
        <v>0</v>
      </c>
      <c r="T2295" s="10">
        <f t="shared" si="392"/>
        <v>0</v>
      </c>
      <c r="U2295" s="10"/>
    </row>
    <row r="2296" spans="1:25">
      <c r="A2296" s="6"/>
      <c r="B2296" s="11"/>
      <c r="C2296" s="7"/>
      <c r="D2296" s="7"/>
      <c r="E2296" s="7"/>
      <c r="F2296" s="7">
        <f t="shared" si="393"/>
        <v>0</v>
      </c>
      <c r="G2296" s="8"/>
      <c r="H2296" s="7">
        <f t="shared" si="394"/>
        <v>0</v>
      </c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9">
        <f t="shared" si="391"/>
        <v>0</v>
      </c>
      <c r="T2296" s="10">
        <f t="shared" si="392"/>
        <v>0</v>
      </c>
      <c r="U2296" s="10"/>
      <c r="V2296">
        <f>X2296*0.1</f>
        <v>0</v>
      </c>
      <c r="W2296">
        <f>E2296*S2296*1.5</f>
        <v>0</v>
      </c>
      <c r="X2296">
        <f>J2296+K2296</f>
        <v>0</v>
      </c>
      <c r="Y2296">
        <f>X2296*0.13</f>
        <v>0</v>
      </c>
    </row>
    <row r="2297" spans="1:25">
      <c r="A2297" s="6">
        <v>46170</v>
      </c>
      <c r="B2297" t="s">
        <v>25</v>
      </c>
      <c r="C2297" s="7" t="s">
        <v>26</v>
      </c>
      <c r="D2297" s="7"/>
      <c r="E2297" s="7"/>
      <c r="F2297" s="7">
        <f t="shared" si="393"/>
        <v>789</v>
      </c>
      <c r="G2297" s="8"/>
      <c r="H2297" s="7">
        <f t="shared" si="394"/>
        <v>0</v>
      </c>
      <c r="I2297" s="7"/>
      <c r="J2297" s="7">
        <v>240</v>
      </c>
      <c r="K2297" s="7"/>
      <c r="L2297" s="7"/>
      <c r="M2297" s="7"/>
      <c r="N2297" s="7"/>
      <c r="O2297" s="7"/>
      <c r="P2297" s="7"/>
      <c r="Q2297" s="7"/>
      <c r="R2297" s="7"/>
      <c r="S2297" s="9">
        <f t="shared" si="391"/>
        <v>549</v>
      </c>
      <c r="T2297" s="10">
        <f t="shared" si="392"/>
        <v>0</v>
      </c>
      <c r="U2297" s="10"/>
      <c r="V2297">
        <f t="shared" ref="V2297:V2306" si="395">X2297*0.1</f>
        <v>24</v>
      </c>
      <c r="W2297">
        <f t="shared" ref="W2297:W2303" si="396">E2297*S2297*1.5</f>
        <v>0</v>
      </c>
      <c r="X2297">
        <f t="shared" ref="X2297:X2306" si="397">J2297+K2297</f>
        <v>240</v>
      </c>
      <c r="Y2297">
        <f t="shared" ref="Y2297:Y2306" si="398">X2297*0.13</f>
        <v>31.2</v>
      </c>
    </row>
    <row r="2298" spans="1:25">
      <c r="A2298" s="6"/>
      <c r="B2298" t="s">
        <v>27</v>
      </c>
      <c r="C2298" s="7" t="s">
        <v>26</v>
      </c>
      <c r="D2298" s="7"/>
      <c r="E2298" s="7"/>
      <c r="F2298" s="7">
        <f t="shared" si="393"/>
        <v>885</v>
      </c>
      <c r="G2298" s="8"/>
      <c r="H2298" s="7">
        <f t="shared" si="394"/>
        <v>0</v>
      </c>
      <c r="I2298" s="7"/>
      <c r="J2298" s="7"/>
      <c r="K2298" s="7"/>
      <c r="L2298" s="7"/>
      <c r="M2298" s="7">
        <v>24</v>
      </c>
      <c r="N2298" s="7"/>
      <c r="O2298" s="7"/>
      <c r="P2298" s="7"/>
      <c r="Q2298" s="7"/>
      <c r="R2298" s="7"/>
      <c r="S2298" s="9">
        <f t="shared" si="391"/>
        <v>909</v>
      </c>
      <c r="T2298" s="10">
        <f t="shared" si="392"/>
        <v>0</v>
      </c>
      <c r="U2298" s="10"/>
      <c r="V2298">
        <f t="shared" si="395"/>
        <v>0</v>
      </c>
      <c r="W2298">
        <f t="shared" si="396"/>
        <v>0</v>
      </c>
      <c r="X2298">
        <f t="shared" si="397"/>
        <v>0</v>
      </c>
      <c r="Y2298">
        <f t="shared" si="398"/>
        <v>0</v>
      </c>
    </row>
    <row r="2299" spans="1:25">
      <c r="A2299" s="6"/>
      <c r="B2299" s="6" t="s">
        <v>28</v>
      </c>
      <c r="C2299" s="7" t="s">
        <v>26</v>
      </c>
      <c r="D2299" s="7"/>
      <c r="E2299" s="7"/>
      <c r="F2299" s="7">
        <f t="shared" si="393"/>
        <v>712</v>
      </c>
      <c r="G2299" s="8">
        <v>380</v>
      </c>
      <c r="H2299" s="7">
        <f t="shared" si="394"/>
        <v>0</v>
      </c>
      <c r="I2299" s="7"/>
      <c r="J2299" s="7">
        <v>165</v>
      </c>
      <c r="K2299" s="7"/>
      <c r="L2299" s="7"/>
      <c r="M2299" s="7"/>
      <c r="N2299" s="7"/>
      <c r="O2299" s="7"/>
      <c r="P2299" s="7"/>
      <c r="Q2299" s="7"/>
      <c r="R2299" s="7"/>
      <c r="S2299" s="9">
        <f t="shared" si="391"/>
        <v>927</v>
      </c>
      <c r="T2299" s="10">
        <f t="shared" si="392"/>
        <v>0</v>
      </c>
      <c r="U2299" s="10"/>
      <c r="V2299">
        <f t="shared" si="395"/>
        <v>16.5</v>
      </c>
      <c r="W2299">
        <f t="shared" si="396"/>
        <v>0</v>
      </c>
      <c r="X2299">
        <f t="shared" si="397"/>
        <v>165</v>
      </c>
      <c r="Y2299">
        <f t="shared" si="398"/>
        <v>21.45</v>
      </c>
    </row>
    <row r="2300" spans="1:25">
      <c r="A2300" s="6"/>
      <c r="B2300" s="6" t="s">
        <v>29</v>
      </c>
      <c r="C2300" s="7" t="s">
        <v>26</v>
      </c>
      <c r="D2300" s="7"/>
      <c r="E2300" s="7"/>
      <c r="F2300" s="7">
        <f t="shared" si="393"/>
        <v>362</v>
      </c>
      <c r="G2300" s="8"/>
      <c r="H2300" s="7">
        <f t="shared" si="394"/>
        <v>0</v>
      </c>
      <c r="I2300" s="7"/>
      <c r="J2300" s="7"/>
      <c r="K2300" s="7"/>
      <c r="L2300" s="7"/>
      <c r="M2300" s="7">
        <v>23</v>
      </c>
      <c r="N2300" s="7"/>
      <c r="O2300" s="7"/>
      <c r="P2300" s="7"/>
      <c r="Q2300" s="7"/>
      <c r="R2300" s="7"/>
      <c r="S2300" s="9">
        <f t="shared" si="391"/>
        <v>385</v>
      </c>
      <c r="T2300" s="10">
        <f t="shared" si="392"/>
        <v>0</v>
      </c>
      <c r="U2300" s="10"/>
      <c r="V2300">
        <f t="shared" si="395"/>
        <v>0</v>
      </c>
      <c r="W2300">
        <f t="shared" si="396"/>
        <v>0</v>
      </c>
      <c r="X2300">
        <f t="shared" si="397"/>
        <v>0</v>
      </c>
      <c r="Y2300">
        <f t="shared" si="398"/>
        <v>0</v>
      </c>
    </row>
    <row r="2301" spans="1:25">
      <c r="A2301" s="6"/>
      <c r="B2301" s="6" t="s">
        <v>30</v>
      </c>
      <c r="C2301" s="7" t="s">
        <v>26</v>
      </c>
      <c r="D2301" s="7"/>
      <c r="E2301" s="7"/>
      <c r="F2301" s="7">
        <f t="shared" si="393"/>
        <v>184</v>
      </c>
      <c r="G2301" s="8">
        <v>2000</v>
      </c>
      <c r="H2301" s="7">
        <f t="shared" si="394"/>
        <v>0</v>
      </c>
      <c r="I2301" s="7"/>
      <c r="J2301" s="7">
        <v>306</v>
      </c>
      <c r="K2301" s="7"/>
      <c r="L2301" s="7"/>
      <c r="M2301" s="7"/>
      <c r="N2301" s="7"/>
      <c r="O2301" s="7"/>
      <c r="P2301" s="7"/>
      <c r="Q2301" s="7"/>
      <c r="R2301" s="7"/>
      <c r="S2301" s="9">
        <f t="shared" si="391"/>
        <v>1878</v>
      </c>
      <c r="T2301" s="10">
        <f t="shared" si="392"/>
        <v>0</v>
      </c>
      <c r="U2301" s="10"/>
      <c r="V2301">
        <f t="shared" si="395"/>
        <v>30.6</v>
      </c>
      <c r="W2301">
        <f t="shared" si="396"/>
        <v>0</v>
      </c>
      <c r="X2301">
        <f t="shared" si="397"/>
        <v>306</v>
      </c>
      <c r="Y2301">
        <f t="shared" si="398"/>
        <v>39.78</v>
      </c>
    </row>
    <row r="2302" spans="1:25">
      <c r="A2302" s="6"/>
      <c r="B2302" s="6" t="s">
        <v>31</v>
      </c>
      <c r="C2302" s="7" t="s">
        <v>26</v>
      </c>
      <c r="D2302" s="7"/>
      <c r="E2302" s="7"/>
      <c r="F2302" s="7">
        <f t="shared" si="393"/>
        <v>1829</v>
      </c>
      <c r="G2302" s="8"/>
      <c r="H2302" s="7">
        <f t="shared" si="394"/>
        <v>0</v>
      </c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9">
        <f t="shared" si="391"/>
        <v>1829</v>
      </c>
      <c r="T2302" s="10">
        <f t="shared" si="392"/>
        <v>0</v>
      </c>
      <c r="U2302" s="10"/>
      <c r="V2302">
        <f t="shared" si="395"/>
        <v>0</v>
      </c>
      <c r="W2302">
        <f t="shared" si="396"/>
        <v>0</v>
      </c>
      <c r="X2302">
        <f t="shared" si="397"/>
        <v>0</v>
      </c>
      <c r="Y2302">
        <f t="shared" si="398"/>
        <v>0</v>
      </c>
    </row>
    <row r="2303" spans="1:25">
      <c r="A2303" s="6"/>
      <c r="B2303" s="6" t="s">
        <v>32</v>
      </c>
      <c r="C2303" s="7" t="s">
        <v>26</v>
      </c>
      <c r="D2303" s="7"/>
      <c r="E2303" s="7"/>
      <c r="F2303" s="7">
        <f t="shared" si="393"/>
        <v>1343</v>
      </c>
      <c r="G2303" s="8"/>
      <c r="H2303" s="7">
        <f t="shared" si="394"/>
        <v>0</v>
      </c>
      <c r="I2303" s="7"/>
      <c r="J2303" s="7">
        <v>120</v>
      </c>
      <c r="K2303" s="7"/>
      <c r="L2303" s="7"/>
      <c r="M2303" s="7"/>
      <c r="N2303" s="7"/>
      <c r="O2303" s="7"/>
      <c r="P2303" s="7"/>
      <c r="Q2303" s="7"/>
      <c r="R2303" s="7"/>
      <c r="S2303" s="9">
        <f t="shared" si="391"/>
        <v>1223</v>
      </c>
      <c r="T2303" s="10">
        <f t="shared" si="392"/>
        <v>0</v>
      </c>
      <c r="U2303" s="10"/>
      <c r="V2303">
        <f t="shared" si="395"/>
        <v>12</v>
      </c>
      <c r="W2303">
        <f t="shared" si="396"/>
        <v>0</v>
      </c>
      <c r="X2303">
        <f t="shared" si="397"/>
        <v>120</v>
      </c>
      <c r="Y2303">
        <f t="shared" si="398"/>
        <v>15.6</v>
      </c>
    </row>
    <row r="2304" spans="1:25">
      <c r="A2304" s="6"/>
      <c r="B2304" s="6" t="s">
        <v>33</v>
      </c>
      <c r="C2304" s="7" t="s">
        <v>26</v>
      </c>
      <c r="D2304" s="7"/>
      <c r="E2304" s="7"/>
      <c r="F2304" s="7">
        <f t="shared" si="393"/>
        <v>1825</v>
      </c>
      <c r="G2304" s="8"/>
      <c r="H2304" s="7">
        <f t="shared" si="394"/>
        <v>0</v>
      </c>
      <c r="I2304" s="7"/>
      <c r="J2304" s="7"/>
      <c r="K2304" s="7"/>
      <c r="L2304" s="7"/>
      <c r="M2304" s="7">
        <v>17</v>
      </c>
      <c r="N2304" s="7"/>
      <c r="O2304" s="7"/>
      <c r="P2304" s="7"/>
      <c r="Q2304" s="7"/>
      <c r="R2304" s="7"/>
      <c r="S2304" s="9">
        <f t="shared" si="391"/>
        <v>1842</v>
      </c>
      <c r="T2304" s="10">
        <f t="shared" si="392"/>
        <v>0</v>
      </c>
      <c r="U2304" s="10"/>
    </row>
    <row r="2305" spans="1:21">
      <c r="A2305" s="6"/>
      <c r="B2305" s="11" t="s">
        <v>34</v>
      </c>
      <c r="C2305" s="7" t="s">
        <v>26</v>
      </c>
      <c r="D2305" s="7"/>
      <c r="E2305" s="7"/>
      <c r="F2305" s="7">
        <f t="shared" si="393"/>
        <v>17</v>
      </c>
      <c r="G2305" s="8"/>
      <c r="H2305" s="7">
        <f t="shared" si="394"/>
        <v>0</v>
      </c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9">
        <f t="shared" si="391"/>
        <v>17</v>
      </c>
      <c r="T2305" s="10">
        <f t="shared" si="392"/>
        <v>0</v>
      </c>
      <c r="U2305" s="10"/>
    </row>
    <row r="2306" spans="1:21">
      <c r="A2306" s="6"/>
      <c r="B2306" s="11" t="s">
        <v>35</v>
      </c>
      <c r="C2306" s="7" t="s">
        <v>26</v>
      </c>
      <c r="D2306" s="7"/>
      <c r="E2306" s="7"/>
      <c r="F2306" s="7">
        <f t="shared" si="393"/>
        <v>120</v>
      </c>
      <c r="G2306" s="8"/>
      <c r="H2306" s="7">
        <f t="shared" si="394"/>
        <v>0</v>
      </c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9">
        <f t="shared" si="391"/>
        <v>120</v>
      </c>
      <c r="T2306" s="10">
        <f t="shared" si="392"/>
        <v>0</v>
      </c>
      <c r="U2306" s="10"/>
    </row>
    <row r="2307" spans="1:21">
      <c r="A2307" s="6"/>
      <c r="B2307" s="11" t="s">
        <v>36</v>
      </c>
      <c r="C2307" s="7" t="s">
        <v>26</v>
      </c>
      <c r="D2307" s="7"/>
      <c r="E2307" s="7"/>
      <c r="F2307" s="7">
        <f t="shared" ref="F2307:F2346" si="399">S2222</f>
        <v>6386</v>
      </c>
      <c r="G2307" s="8"/>
      <c r="H2307" s="7">
        <f t="shared" ref="H2307:H2347" si="400">T2222</f>
        <v>0</v>
      </c>
      <c r="I2307" s="7"/>
      <c r="J2307" s="7">
        <v>400</v>
      </c>
      <c r="K2307" s="7"/>
      <c r="L2307" s="7"/>
      <c r="M2307" s="7"/>
      <c r="N2307" s="7"/>
      <c r="O2307" s="17"/>
      <c r="P2307" s="17"/>
      <c r="Q2307" s="7"/>
      <c r="R2307" s="7"/>
      <c r="S2307" s="9">
        <f t="shared" si="391"/>
        <v>5986</v>
      </c>
      <c r="T2307" s="10">
        <f t="shared" si="392"/>
        <v>0</v>
      </c>
      <c r="U2307" s="10"/>
    </row>
    <row r="2308" spans="1:21">
      <c r="A2308" s="6"/>
      <c r="B2308" s="11" t="s">
        <v>37</v>
      </c>
      <c r="C2308" s="7" t="s">
        <v>26</v>
      </c>
      <c r="D2308" s="7"/>
      <c r="E2308" s="7"/>
      <c r="F2308" s="7">
        <f t="shared" si="399"/>
        <v>1676</v>
      </c>
      <c r="G2308" s="8"/>
      <c r="H2308" s="7">
        <f t="shared" si="400"/>
        <v>0</v>
      </c>
      <c r="I2308" s="7"/>
      <c r="J2308" s="7"/>
      <c r="K2308" s="7"/>
      <c r="L2308" s="7"/>
      <c r="M2308" s="7">
        <v>21</v>
      </c>
      <c r="N2308" s="7"/>
      <c r="O2308" s="7"/>
      <c r="P2308" s="17"/>
      <c r="Q2308" s="7"/>
      <c r="R2308" s="7"/>
      <c r="S2308" s="9">
        <f t="shared" si="391"/>
        <v>1697</v>
      </c>
      <c r="T2308" s="10">
        <f t="shared" si="392"/>
        <v>0</v>
      </c>
      <c r="U2308" s="10"/>
    </row>
    <row r="2309" spans="1:21">
      <c r="A2309" s="6"/>
      <c r="B2309" s="11" t="s">
        <v>38</v>
      </c>
      <c r="C2309" s="7" t="s">
        <v>26</v>
      </c>
      <c r="D2309" s="7"/>
      <c r="E2309" s="7"/>
      <c r="F2309" s="7">
        <f t="shared" si="399"/>
        <v>0</v>
      </c>
      <c r="G2309" s="8"/>
      <c r="H2309" s="7">
        <f t="shared" si="400"/>
        <v>0</v>
      </c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9">
        <f t="shared" si="391"/>
        <v>0</v>
      </c>
      <c r="T2309" s="10">
        <f t="shared" si="392"/>
        <v>0</v>
      </c>
      <c r="U2309" s="10"/>
    </row>
    <row r="2310" spans="1:21">
      <c r="A2310" s="6"/>
      <c r="B2310" s="11" t="s">
        <v>39</v>
      </c>
      <c r="C2310" s="7" t="s">
        <v>26</v>
      </c>
      <c r="D2310" s="7"/>
      <c r="E2310" s="7"/>
      <c r="F2310" s="7">
        <f t="shared" si="399"/>
        <v>1973</v>
      </c>
      <c r="G2310" s="8"/>
      <c r="H2310" s="7">
        <f t="shared" si="400"/>
        <v>0</v>
      </c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9">
        <f t="shared" si="391"/>
        <v>1973</v>
      </c>
      <c r="T2310" s="10">
        <f t="shared" si="392"/>
        <v>0</v>
      </c>
      <c r="U2310" s="10"/>
    </row>
    <row r="2311" spans="1:21">
      <c r="A2311" s="6"/>
      <c r="B2311" s="11" t="s">
        <v>40</v>
      </c>
      <c r="C2311" s="7" t="s">
        <v>41</v>
      </c>
      <c r="D2311" s="7"/>
      <c r="E2311" s="7"/>
      <c r="F2311" s="7">
        <f t="shared" si="399"/>
        <v>0</v>
      </c>
      <c r="G2311" s="8"/>
      <c r="H2311" s="7">
        <f t="shared" si="400"/>
        <v>0</v>
      </c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9">
        <f t="shared" si="391"/>
        <v>0</v>
      </c>
      <c r="T2311" s="10">
        <f t="shared" si="392"/>
        <v>0</v>
      </c>
      <c r="U2311" s="10"/>
    </row>
    <row r="2312" spans="1:21">
      <c r="A2312" s="6"/>
      <c r="B2312" s="11" t="s">
        <v>42</v>
      </c>
      <c r="C2312" s="7" t="s">
        <v>41</v>
      </c>
      <c r="D2312" s="7"/>
      <c r="E2312" s="7"/>
      <c r="F2312" s="7">
        <f t="shared" si="399"/>
        <v>53</v>
      </c>
      <c r="G2312" s="8"/>
      <c r="H2312" s="7">
        <f t="shared" si="400"/>
        <v>0</v>
      </c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9">
        <f t="shared" si="391"/>
        <v>53</v>
      </c>
      <c r="T2312" s="10">
        <f t="shared" si="392"/>
        <v>0</v>
      </c>
      <c r="U2312" s="10"/>
    </row>
    <row r="2313" spans="1:21">
      <c r="A2313" s="6"/>
      <c r="B2313" s="11" t="s">
        <v>43</v>
      </c>
      <c r="C2313" s="7" t="s">
        <v>41</v>
      </c>
      <c r="D2313" s="7"/>
      <c r="E2313" s="7"/>
      <c r="F2313" s="7">
        <f t="shared" si="399"/>
        <v>0</v>
      </c>
      <c r="G2313" s="8"/>
      <c r="H2313" s="7">
        <f t="shared" si="400"/>
        <v>0</v>
      </c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9">
        <f t="shared" si="391"/>
        <v>0</v>
      </c>
      <c r="T2313" s="10">
        <f t="shared" si="392"/>
        <v>0</v>
      </c>
      <c r="U2313" s="10"/>
    </row>
    <row r="2314" spans="1:21">
      <c r="A2314" s="6"/>
      <c r="B2314" s="11" t="s">
        <v>44</v>
      </c>
      <c r="C2314" s="7" t="s">
        <v>41</v>
      </c>
      <c r="D2314" s="7"/>
      <c r="E2314" s="7"/>
      <c r="F2314" s="7">
        <f t="shared" si="399"/>
        <v>75</v>
      </c>
      <c r="G2314" s="8"/>
      <c r="H2314" s="7">
        <f t="shared" si="400"/>
        <v>0</v>
      </c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9">
        <f t="shared" si="391"/>
        <v>75</v>
      </c>
      <c r="T2314" s="10">
        <f t="shared" si="392"/>
        <v>0</v>
      </c>
      <c r="U2314" s="10"/>
    </row>
    <row r="2315" spans="1:21">
      <c r="A2315" s="6"/>
      <c r="B2315" s="11" t="s">
        <v>45</v>
      </c>
      <c r="C2315" s="7" t="s">
        <v>41</v>
      </c>
      <c r="D2315" s="7"/>
      <c r="E2315" s="7"/>
      <c r="F2315" s="7">
        <f t="shared" si="399"/>
        <v>0</v>
      </c>
      <c r="G2315" s="8"/>
      <c r="H2315" s="7">
        <f t="shared" si="400"/>
        <v>0</v>
      </c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9">
        <f t="shared" si="391"/>
        <v>0</v>
      </c>
      <c r="T2315" s="10">
        <f t="shared" si="392"/>
        <v>0</v>
      </c>
      <c r="U2315" s="10"/>
    </row>
    <row r="2316" spans="1:21">
      <c r="A2316" s="6"/>
      <c r="B2316" s="11" t="s">
        <v>46</v>
      </c>
      <c r="C2316" s="7" t="s">
        <v>41</v>
      </c>
      <c r="D2316" s="7"/>
      <c r="E2316" s="7"/>
      <c r="F2316" s="7">
        <f t="shared" si="399"/>
        <v>17</v>
      </c>
      <c r="G2316" s="8"/>
      <c r="H2316" s="7">
        <f t="shared" si="400"/>
        <v>0</v>
      </c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9">
        <f t="shared" si="391"/>
        <v>17</v>
      </c>
      <c r="T2316" s="10">
        <f t="shared" si="392"/>
        <v>0</v>
      </c>
      <c r="U2316" s="10"/>
    </row>
    <row r="2317" spans="1:21">
      <c r="A2317" s="6"/>
      <c r="B2317" s="11" t="s">
        <v>47</v>
      </c>
      <c r="C2317" s="7" t="s">
        <v>26</v>
      </c>
      <c r="D2317" s="7"/>
      <c r="E2317" s="7"/>
      <c r="F2317" s="7">
        <f t="shared" si="399"/>
        <v>0</v>
      </c>
      <c r="G2317" s="8"/>
      <c r="H2317" s="7">
        <f t="shared" si="400"/>
        <v>0</v>
      </c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9">
        <f t="shared" si="391"/>
        <v>0</v>
      </c>
      <c r="T2317" s="10">
        <f t="shared" si="392"/>
        <v>0</v>
      </c>
      <c r="U2317" s="10"/>
    </row>
    <row r="2318" spans="1:21">
      <c r="A2318" s="6"/>
      <c r="B2318" s="11" t="s">
        <v>48</v>
      </c>
      <c r="C2318" s="7" t="s">
        <v>26</v>
      </c>
      <c r="D2318" s="7"/>
      <c r="E2318" s="7"/>
      <c r="F2318" s="7">
        <f t="shared" si="399"/>
        <v>56</v>
      </c>
      <c r="G2318" s="8"/>
      <c r="H2318" s="7">
        <f t="shared" si="400"/>
        <v>0</v>
      </c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9">
        <f t="shared" si="391"/>
        <v>56</v>
      </c>
      <c r="T2318" s="10">
        <f t="shared" si="392"/>
        <v>0</v>
      </c>
      <c r="U2318" s="10"/>
    </row>
    <row r="2319" spans="1:21">
      <c r="A2319" s="6"/>
      <c r="B2319" s="11" t="s">
        <v>50</v>
      </c>
      <c r="C2319" s="7" t="s">
        <v>26</v>
      </c>
      <c r="D2319" s="7"/>
      <c r="E2319" s="7"/>
      <c r="F2319" s="7">
        <f t="shared" si="399"/>
        <v>0</v>
      </c>
      <c r="G2319" s="8"/>
      <c r="H2319" s="7">
        <f t="shared" si="400"/>
        <v>0</v>
      </c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9">
        <f t="shared" si="391"/>
        <v>0</v>
      </c>
      <c r="T2319" s="10">
        <f t="shared" si="392"/>
        <v>0</v>
      </c>
      <c r="U2319" s="10"/>
    </row>
    <row r="2320" spans="1:21">
      <c r="A2320" s="6"/>
      <c r="B2320" s="11" t="s">
        <v>51</v>
      </c>
      <c r="C2320" s="7" t="s">
        <v>26</v>
      </c>
      <c r="D2320" s="7"/>
      <c r="E2320" s="7"/>
      <c r="F2320" s="7">
        <f t="shared" si="399"/>
        <v>0</v>
      </c>
      <c r="G2320" s="8"/>
      <c r="H2320" s="7">
        <f t="shared" si="400"/>
        <v>0</v>
      </c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9">
        <f t="shared" si="391"/>
        <v>0</v>
      </c>
      <c r="T2320" s="10">
        <f t="shared" si="392"/>
        <v>0</v>
      </c>
      <c r="U2320" s="10"/>
    </row>
    <row r="2321" spans="1:21">
      <c r="A2321" s="6"/>
      <c r="B2321" s="11" t="s">
        <v>52</v>
      </c>
      <c r="C2321" s="7" t="s">
        <v>26</v>
      </c>
      <c r="D2321" s="7"/>
      <c r="E2321" s="7"/>
      <c r="F2321" s="7">
        <f t="shared" si="399"/>
        <v>76</v>
      </c>
      <c r="G2321" s="8"/>
      <c r="H2321" s="7">
        <f t="shared" si="400"/>
        <v>0</v>
      </c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9">
        <f t="shared" si="391"/>
        <v>76</v>
      </c>
      <c r="T2321" s="10">
        <f t="shared" si="392"/>
        <v>0</v>
      </c>
      <c r="U2321" s="10"/>
    </row>
    <row r="2322" spans="1:21">
      <c r="A2322" s="6"/>
      <c r="B2322" s="11" t="s">
        <v>53</v>
      </c>
      <c r="C2322" s="7" t="s">
        <v>54</v>
      </c>
      <c r="D2322" s="7"/>
      <c r="E2322" s="7"/>
      <c r="F2322" s="7">
        <f t="shared" si="399"/>
        <v>0</v>
      </c>
      <c r="G2322" s="8"/>
      <c r="H2322" s="7">
        <f t="shared" si="400"/>
        <v>0</v>
      </c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9">
        <f t="shared" si="391"/>
        <v>0</v>
      </c>
      <c r="T2322" s="10">
        <f t="shared" si="392"/>
        <v>0</v>
      </c>
      <c r="U2322" s="10"/>
    </row>
    <row r="2323" spans="1:21">
      <c r="A2323" s="6"/>
      <c r="B2323" s="11" t="s">
        <v>55</v>
      </c>
      <c r="C2323" s="7" t="s">
        <v>54</v>
      </c>
      <c r="D2323" s="7"/>
      <c r="E2323" s="7"/>
      <c r="F2323" s="7">
        <f t="shared" si="399"/>
        <v>15</v>
      </c>
      <c r="G2323" s="8"/>
      <c r="H2323" s="7">
        <f t="shared" si="400"/>
        <v>0</v>
      </c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9">
        <f t="shared" ref="S2323:S2386" si="401">F2323+G2323-J2323-K2323-L2323+M2323+O2323-P2323-R2323</f>
        <v>15</v>
      </c>
      <c r="T2323" s="10">
        <f t="shared" ref="T2323:T2386" si="402">H2323+I2323+N2323+R2323-Q2323</f>
        <v>0</v>
      </c>
      <c r="U2323" s="10"/>
    </row>
    <row r="2324" spans="1:21">
      <c r="A2324" s="6"/>
      <c r="B2324" s="11" t="s">
        <v>56</v>
      </c>
      <c r="C2324" s="7" t="s">
        <v>54</v>
      </c>
      <c r="D2324" s="7"/>
      <c r="E2324" s="7"/>
      <c r="F2324" s="7">
        <f t="shared" si="399"/>
        <v>3029</v>
      </c>
      <c r="G2324" s="8"/>
      <c r="H2324" s="7">
        <f t="shared" si="400"/>
        <v>0</v>
      </c>
      <c r="I2324" s="7"/>
      <c r="J2324" s="7">
        <v>270</v>
      </c>
      <c r="K2324" s="7"/>
      <c r="L2324" s="7"/>
      <c r="M2324" s="7"/>
      <c r="N2324" s="7"/>
      <c r="O2324" s="7"/>
      <c r="P2324" s="7"/>
      <c r="Q2324" s="7"/>
      <c r="R2324" s="7"/>
      <c r="S2324" s="9">
        <f t="shared" si="401"/>
        <v>2759</v>
      </c>
      <c r="T2324" s="10">
        <f t="shared" si="402"/>
        <v>0</v>
      </c>
      <c r="U2324" s="10"/>
    </row>
    <row r="2325" spans="1:21">
      <c r="A2325" s="6"/>
      <c r="B2325" s="11" t="s">
        <v>57</v>
      </c>
      <c r="C2325" s="7" t="s">
        <v>54</v>
      </c>
      <c r="D2325" s="7"/>
      <c r="E2325" s="7"/>
      <c r="F2325" s="7">
        <f t="shared" si="399"/>
        <v>406</v>
      </c>
      <c r="G2325" s="8"/>
      <c r="H2325" s="7">
        <f t="shared" si="400"/>
        <v>0</v>
      </c>
      <c r="I2325" s="7"/>
      <c r="J2325" s="7"/>
      <c r="K2325" s="7"/>
      <c r="L2325" s="7"/>
      <c r="M2325" s="7">
        <v>31</v>
      </c>
      <c r="N2325" s="7"/>
      <c r="O2325" s="7">
        <v>14</v>
      </c>
      <c r="P2325" s="7"/>
      <c r="Q2325" s="7"/>
      <c r="R2325" s="7"/>
      <c r="S2325" s="9">
        <f t="shared" si="401"/>
        <v>451</v>
      </c>
      <c r="T2325" s="10">
        <f t="shared" si="402"/>
        <v>0</v>
      </c>
      <c r="U2325" s="10"/>
    </row>
    <row r="2326" spans="1:21">
      <c r="A2326" s="6"/>
      <c r="B2326" s="11" t="s">
        <v>58</v>
      </c>
      <c r="C2326" s="7" t="s">
        <v>54</v>
      </c>
      <c r="D2326" s="7"/>
      <c r="E2326" s="7"/>
      <c r="F2326" s="7">
        <f t="shared" si="399"/>
        <v>0</v>
      </c>
      <c r="G2326" s="8"/>
      <c r="H2326" s="7">
        <f t="shared" si="400"/>
        <v>0</v>
      </c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9">
        <f t="shared" si="401"/>
        <v>0</v>
      </c>
      <c r="T2326" s="10">
        <f t="shared" si="402"/>
        <v>0</v>
      </c>
      <c r="U2326" s="10"/>
    </row>
    <row r="2327" spans="1:21">
      <c r="A2327" s="6"/>
      <c r="B2327" s="11" t="s">
        <v>59</v>
      </c>
      <c r="C2327" s="7" t="s">
        <v>54</v>
      </c>
      <c r="D2327" s="7"/>
      <c r="E2327" s="7"/>
      <c r="F2327" s="7">
        <f t="shared" si="399"/>
        <v>19</v>
      </c>
      <c r="G2327" s="8"/>
      <c r="H2327" s="7">
        <f t="shared" si="400"/>
        <v>0</v>
      </c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9">
        <f t="shared" si="401"/>
        <v>19</v>
      </c>
      <c r="T2327" s="10">
        <f t="shared" si="402"/>
        <v>0</v>
      </c>
      <c r="U2327" s="10"/>
    </row>
    <row r="2328" spans="1:21">
      <c r="A2328" s="6"/>
      <c r="B2328" s="11" t="s">
        <v>60</v>
      </c>
      <c r="C2328" s="7" t="s">
        <v>61</v>
      </c>
      <c r="D2328" s="7"/>
      <c r="E2328" s="7"/>
      <c r="F2328" s="7">
        <f t="shared" si="399"/>
        <v>0</v>
      </c>
      <c r="G2328" s="8"/>
      <c r="H2328" s="7">
        <f t="shared" si="400"/>
        <v>0</v>
      </c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9">
        <f t="shared" si="401"/>
        <v>0</v>
      </c>
      <c r="T2328" s="10">
        <f t="shared" si="402"/>
        <v>0</v>
      </c>
      <c r="U2328" s="10"/>
    </row>
    <row r="2329" spans="1:21">
      <c r="A2329" s="6"/>
      <c r="B2329" s="11" t="s">
        <v>62</v>
      </c>
      <c r="C2329" s="7" t="s">
        <v>61</v>
      </c>
      <c r="D2329" s="7"/>
      <c r="E2329" s="7"/>
      <c r="F2329" s="7">
        <f t="shared" si="399"/>
        <v>11</v>
      </c>
      <c r="G2329" s="8"/>
      <c r="H2329" s="7">
        <f t="shared" si="400"/>
        <v>0</v>
      </c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9">
        <f t="shared" si="401"/>
        <v>11</v>
      </c>
      <c r="T2329" s="10">
        <f t="shared" si="402"/>
        <v>0</v>
      </c>
      <c r="U2329" s="10"/>
    </row>
    <row r="2330" spans="1:21">
      <c r="A2330" s="6"/>
      <c r="B2330" s="10" t="s">
        <v>63</v>
      </c>
      <c r="C2330" s="10" t="s">
        <v>41</v>
      </c>
      <c r="D2330" s="7"/>
      <c r="E2330" s="7"/>
      <c r="F2330" s="7">
        <f t="shared" si="399"/>
        <v>0</v>
      </c>
      <c r="G2330" s="8"/>
      <c r="H2330" s="7">
        <f t="shared" si="400"/>
        <v>0</v>
      </c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9">
        <f t="shared" si="401"/>
        <v>0</v>
      </c>
      <c r="T2330" s="10">
        <f t="shared" si="402"/>
        <v>0</v>
      </c>
      <c r="U2330" s="10"/>
    </row>
    <row r="2331" spans="1:21">
      <c r="A2331" s="6"/>
      <c r="B2331" s="10" t="s">
        <v>64</v>
      </c>
      <c r="C2331" s="10" t="s">
        <v>41</v>
      </c>
      <c r="D2331" s="7"/>
      <c r="E2331" s="7"/>
      <c r="F2331" s="7">
        <f t="shared" si="399"/>
        <v>5</v>
      </c>
      <c r="G2331" s="8"/>
      <c r="H2331" s="7">
        <f t="shared" si="400"/>
        <v>0</v>
      </c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9">
        <f t="shared" si="401"/>
        <v>5</v>
      </c>
      <c r="T2331" s="10">
        <f t="shared" si="402"/>
        <v>0</v>
      </c>
      <c r="U2331" s="10"/>
    </row>
    <row r="2332" spans="1:21">
      <c r="A2332" s="6"/>
      <c r="B2332" s="11" t="s">
        <v>65</v>
      </c>
      <c r="C2332" s="7" t="s">
        <v>26</v>
      </c>
      <c r="D2332" s="7"/>
      <c r="E2332" s="7"/>
      <c r="F2332" s="7">
        <f t="shared" si="399"/>
        <v>0</v>
      </c>
      <c r="G2332" s="8"/>
      <c r="H2332" s="7">
        <f t="shared" si="400"/>
        <v>0</v>
      </c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9">
        <f t="shared" si="401"/>
        <v>0</v>
      </c>
      <c r="T2332" s="10">
        <f t="shared" si="402"/>
        <v>0</v>
      </c>
      <c r="U2332" s="10"/>
    </row>
    <row r="2333" spans="1:21">
      <c r="A2333" s="6"/>
      <c r="B2333" s="11" t="s">
        <v>66</v>
      </c>
      <c r="C2333" s="7" t="s">
        <v>26</v>
      </c>
      <c r="D2333" s="7"/>
      <c r="E2333" s="7"/>
      <c r="F2333" s="7">
        <f t="shared" si="399"/>
        <v>71</v>
      </c>
      <c r="G2333" s="8"/>
      <c r="H2333" s="7">
        <f t="shared" si="400"/>
        <v>0</v>
      </c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9">
        <f t="shared" si="401"/>
        <v>71</v>
      </c>
      <c r="T2333" s="10">
        <f t="shared" si="402"/>
        <v>0</v>
      </c>
      <c r="U2333" s="10"/>
    </row>
    <row r="2334" spans="1:21">
      <c r="A2334" s="6"/>
      <c r="B2334" s="11" t="s">
        <v>67</v>
      </c>
      <c r="C2334" s="7" t="s">
        <v>26</v>
      </c>
      <c r="D2334" s="7"/>
      <c r="E2334" s="7"/>
      <c r="F2334" s="7">
        <f t="shared" si="399"/>
        <v>0</v>
      </c>
      <c r="G2334" s="8"/>
      <c r="H2334" s="7">
        <f t="shared" si="400"/>
        <v>0</v>
      </c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9">
        <f t="shared" si="401"/>
        <v>0</v>
      </c>
      <c r="T2334" s="10">
        <f t="shared" si="402"/>
        <v>0</v>
      </c>
      <c r="U2334" s="10"/>
    </row>
    <row r="2335" spans="1:21">
      <c r="A2335" s="6"/>
      <c r="B2335" s="11" t="s">
        <v>68</v>
      </c>
      <c r="C2335" s="7" t="s">
        <v>26</v>
      </c>
      <c r="D2335" s="7"/>
      <c r="E2335" s="7"/>
      <c r="F2335" s="7">
        <f t="shared" si="399"/>
        <v>7</v>
      </c>
      <c r="G2335" s="8"/>
      <c r="H2335" s="7">
        <f t="shared" si="400"/>
        <v>0</v>
      </c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9">
        <f t="shared" si="401"/>
        <v>7</v>
      </c>
      <c r="T2335" s="10">
        <f t="shared" si="402"/>
        <v>0</v>
      </c>
      <c r="U2335" s="10"/>
    </row>
    <row r="2336" spans="1:21">
      <c r="A2336" s="6"/>
      <c r="B2336" s="11" t="s">
        <v>69</v>
      </c>
      <c r="C2336" s="7" t="s">
        <v>41</v>
      </c>
      <c r="D2336" s="7"/>
      <c r="E2336" s="7"/>
      <c r="F2336" s="7">
        <f t="shared" si="399"/>
        <v>0</v>
      </c>
      <c r="G2336" s="8"/>
      <c r="H2336" s="7">
        <f t="shared" si="400"/>
        <v>0</v>
      </c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9">
        <f t="shared" si="401"/>
        <v>0</v>
      </c>
      <c r="T2336" s="10">
        <f t="shared" si="402"/>
        <v>0</v>
      </c>
      <c r="U2336" s="10"/>
    </row>
    <row r="2337" spans="1:21">
      <c r="A2337" s="6"/>
      <c r="B2337" s="11" t="s">
        <v>70</v>
      </c>
      <c r="C2337" s="7" t="s">
        <v>41</v>
      </c>
      <c r="D2337" s="7"/>
      <c r="E2337" s="7"/>
      <c r="F2337" s="7">
        <f t="shared" si="399"/>
        <v>13</v>
      </c>
      <c r="G2337" s="8"/>
      <c r="H2337" s="7">
        <f t="shared" si="400"/>
        <v>0</v>
      </c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9">
        <f t="shared" si="401"/>
        <v>13</v>
      </c>
      <c r="T2337" s="10">
        <f t="shared" si="402"/>
        <v>0</v>
      </c>
      <c r="U2337" s="10"/>
    </row>
    <row r="2338" spans="1:21">
      <c r="A2338" s="6"/>
      <c r="B2338" s="11" t="s">
        <v>71</v>
      </c>
      <c r="C2338" s="7" t="s">
        <v>61</v>
      </c>
      <c r="D2338" s="7"/>
      <c r="E2338" s="7"/>
      <c r="F2338" s="7">
        <f t="shared" si="399"/>
        <v>0</v>
      </c>
      <c r="G2338" s="8"/>
      <c r="H2338" s="7">
        <f t="shared" si="400"/>
        <v>0</v>
      </c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9">
        <f t="shared" si="401"/>
        <v>0</v>
      </c>
      <c r="T2338" s="10">
        <f t="shared" si="402"/>
        <v>0</v>
      </c>
      <c r="U2338" s="10"/>
    </row>
    <row r="2339" spans="1:21">
      <c r="A2339" s="6"/>
      <c r="B2339" s="11" t="s">
        <v>72</v>
      </c>
      <c r="C2339" s="7" t="s">
        <v>61</v>
      </c>
      <c r="D2339" s="7"/>
      <c r="E2339" s="7"/>
      <c r="F2339" s="7">
        <f t="shared" si="399"/>
        <v>8</v>
      </c>
      <c r="G2339" s="8"/>
      <c r="H2339" s="7">
        <f t="shared" si="400"/>
        <v>0</v>
      </c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9">
        <f t="shared" si="401"/>
        <v>8</v>
      </c>
      <c r="T2339" s="10">
        <f t="shared" si="402"/>
        <v>0</v>
      </c>
      <c r="U2339" s="10"/>
    </row>
    <row r="2340" spans="1:21">
      <c r="A2340" s="6"/>
      <c r="B2340" s="11" t="s">
        <v>73</v>
      </c>
      <c r="C2340" s="7" t="s">
        <v>26</v>
      </c>
      <c r="D2340" s="7"/>
      <c r="E2340" s="7"/>
      <c r="F2340" s="7">
        <f t="shared" si="399"/>
        <v>0</v>
      </c>
      <c r="G2340" s="8"/>
      <c r="H2340" s="7">
        <f t="shared" si="400"/>
        <v>0</v>
      </c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9">
        <f t="shared" si="401"/>
        <v>0</v>
      </c>
      <c r="T2340" s="10">
        <f t="shared" si="402"/>
        <v>0</v>
      </c>
      <c r="U2340" s="10"/>
    </row>
    <row r="2341" spans="1:21">
      <c r="A2341" s="6"/>
      <c r="B2341" s="11" t="s">
        <v>74</v>
      </c>
      <c r="C2341" s="7" t="s">
        <v>26</v>
      </c>
      <c r="D2341" s="7"/>
      <c r="E2341" s="7"/>
      <c r="F2341" s="7">
        <f t="shared" si="399"/>
        <v>22</v>
      </c>
      <c r="G2341" s="8"/>
      <c r="H2341" s="7">
        <f t="shared" si="400"/>
        <v>0</v>
      </c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9">
        <f t="shared" si="401"/>
        <v>22</v>
      </c>
      <c r="T2341" s="10">
        <f t="shared" si="402"/>
        <v>0</v>
      </c>
      <c r="U2341" s="10"/>
    </row>
    <row r="2342" spans="1:21">
      <c r="A2342" s="6"/>
      <c r="B2342" s="11" t="s">
        <v>75</v>
      </c>
      <c r="C2342" s="7" t="s">
        <v>26</v>
      </c>
      <c r="D2342" s="7"/>
      <c r="E2342" s="7"/>
      <c r="F2342" s="7">
        <f t="shared" si="399"/>
        <v>0</v>
      </c>
      <c r="G2342" s="8"/>
      <c r="H2342" s="7">
        <f t="shared" si="400"/>
        <v>0</v>
      </c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9">
        <f t="shared" si="401"/>
        <v>0</v>
      </c>
      <c r="T2342" s="10">
        <f t="shared" si="402"/>
        <v>0</v>
      </c>
      <c r="U2342" s="10"/>
    </row>
    <row r="2343" spans="1:21">
      <c r="A2343" s="6"/>
      <c r="B2343" s="11" t="s">
        <v>76</v>
      </c>
      <c r="C2343" s="7" t="s">
        <v>26</v>
      </c>
      <c r="D2343" s="7"/>
      <c r="E2343" s="7"/>
      <c r="F2343" s="7">
        <f t="shared" si="399"/>
        <v>20</v>
      </c>
      <c r="G2343" s="8"/>
      <c r="H2343" s="7">
        <f t="shared" si="400"/>
        <v>0</v>
      </c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9">
        <f t="shared" si="401"/>
        <v>20</v>
      </c>
      <c r="T2343" s="10">
        <f t="shared" si="402"/>
        <v>0</v>
      </c>
      <c r="U2343" s="10"/>
    </row>
    <row r="2344" spans="1:21">
      <c r="A2344" s="6"/>
      <c r="B2344" s="11" t="s">
        <v>77</v>
      </c>
      <c r="C2344" s="7" t="s">
        <v>61</v>
      </c>
      <c r="D2344" s="7"/>
      <c r="E2344" s="7"/>
      <c r="F2344" s="7">
        <f t="shared" si="399"/>
        <v>0</v>
      </c>
      <c r="G2344" s="8"/>
      <c r="H2344" s="7">
        <f t="shared" si="400"/>
        <v>0</v>
      </c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9">
        <f t="shared" si="401"/>
        <v>0</v>
      </c>
      <c r="T2344" s="10">
        <f t="shared" si="402"/>
        <v>0</v>
      </c>
      <c r="U2344" s="10"/>
    </row>
    <row r="2345" spans="1:21">
      <c r="A2345" s="6"/>
      <c r="B2345" s="11" t="s">
        <v>78</v>
      </c>
      <c r="C2345" s="7" t="s">
        <v>61</v>
      </c>
      <c r="D2345" s="7"/>
      <c r="E2345" s="7"/>
      <c r="F2345" s="7">
        <f t="shared" si="399"/>
        <v>69</v>
      </c>
      <c r="G2345" s="8"/>
      <c r="H2345" s="7">
        <f t="shared" si="400"/>
        <v>0</v>
      </c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9">
        <f t="shared" si="401"/>
        <v>69</v>
      </c>
      <c r="T2345" s="10">
        <f t="shared" si="402"/>
        <v>0</v>
      </c>
      <c r="U2345" s="10"/>
    </row>
    <row r="2346" spans="1:21">
      <c r="A2346" s="6"/>
      <c r="B2346" s="11" t="s">
        <v>105</v>
      </c>
      <c r="C2346" s="7" t="s">
        <v>26</v>
      </c>
      <c r="D2346" s="7"/>
      <c r="E2346" s="7"/>
      <c r="F2346" s="7">
        <f t="shared" si="399"/>
        <v>1029</v>
      </c>
      <c r="G2346" s="8">
        <v>1500</v>
      </c>
      <c r="H2346" s="7">
        <f t="shared" si="400"/>
        <v>0</v>
      </c>
      <c r="I2346" s="7"/>
      <c r="J2346" s="7">
        <v>120</v>
      </c>
      <c r="K2346" s="7"/>
      <c r="L2346" s="7"/>
      <c r="M2346" s="7"/>
      <c r="N2346" s="7"/>
      <c r="O2346" s="7"/>
      <c r="P2346" s="7"/>
      <c r="Q2346" s="7"/>
      <c r="R2346" s="7"/>
      <c r="S2346" s="9">
        <f t="shared" si="401"/>
        <v>2409</v>
      </c>
      <c r="T2346" s="10">
        <f t="shared" si="402"/>
        <v>0</v>
      </c>
      <c r="U2346" s="10"/>
    </row>
    <row r="2347" spans="1:21">
      <c r="A2347" s="6"/>
      <c r="B2347" s="11" t="s">
        <v>80</v>
      </c>
      <c r="C2347" s="7" t="s">
        <v>26</v>
      </c>
      <c r="D2347" s="7"/>
      <c r="E2347" s="7"/>
      <c r="F2347" s="7">
        <f t="shared" ref="F2347:F2406" si="403">S2262</f>
        <v>511</v>
      </c>
      <c r="G2347" s="8"/>
      <c r="H2347" s="7">
        <f t="shared" si="400"/>
        <v>0</v>
      </c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9">
        <f t="shared" si="401"/>
        <v>511</v>
      </c>
      <c r="T2347" s="10">
        <f t="shared" si="402"/>
        <v>0</v>
      </c>
      <c r="U2347" s="10"/>
    </row>
    <row r="2348" spans="1:21">
      <c r="A2348" s="6"/>
      <c r="B2348" s="11" t="s">
        <v>81</v>
      </c>
      <c r="C2348" s="7" t="s">
        <v>26</v>
      </c>
      <c r="D2348" s="7"/>
      <c r="E2348" s="7"/>
      <c r="F2348" s="7">
        <f t="shared" si="403"/>
        <v>0</v>
      </c>
      <c r="G2348" s="8"/>
      <c r="H2348" s="7">
        <f t="shared" ref="H2348:H2407" si="404">T2263</f>
        <v>0</v>
      </c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9">
        <f t="shared" si="401"/>
        <v>0</v>
      </c>
      <c r="T2348" s="10">
        <f t="shared" si="402"/>
        <v>0</v>
      </c>
      <c r="U2348" s="10"/>
    </row>
    <row r="2349" spans="1:21">
      <c r="A2349" s="6"/>
      <c r="B2349" s="11" t="s">
        <v>82</v>
      </c>
      <c r="C2349" s="7" t="s">
        <v>26</v>
      </c>
      <c r="D2349" s="7"/>
      <c r="E2349" s="7"/>
      <c r="F2349" s="7">
        <f t="shared" si="403"/>
        <v>14</v>
      </c>
      <c r="G2349" s="8"/>
      <c r="H2349" s="7">
        <f t="shared" si="404"/>
        <v>0</v>
      </c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9">
        <f t="shared" si="401"/>
        <v>14</v>
      </c>
      <c r="T2349" s="10">
        <f t="shared" si="402"/>
        <v>0</v>
      </c>
      <c r="U2349" s="10"/>
    </row>
    <row r="2350" spans="1:21">
      <c r="A2350" s="6"/>
      <c r="B2350" s="11" t="s">
        <v>83</v>
      </c>
      <c r="C2350" s="7" t="s">
        <v>26</v>
      </c>
      <c r="D2350" s="7"/>
      <c r="E2350" s="7"/>
      <c r="F2350" s="7">
        <f t="shared" si="403"/>
        <v>0</v>
      </c>
      <c r="G2350" s="8"/>
      <c r="H2350" s="7">
        <f t="shared" si="404"/>
        <v>0</v>
      </c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9">
        <f t="shared" si="401"/>
        <v>0</v>
      </c>
      <c r="T2350" s="10">
        <f t="shared" si="402"/>
        <v>0</v>
      </c>
      <c r="U2350" s="10"/>
    </row>
    <row r="2351" spans="1:21">
      <c r="A2351" s="6"/>
      <c r="B2351" s="11" t="s">
        <v>84</v>
      </c>
      <c r="C2351" s="7" t="s">
        <v>26</v>
      </c>
      <c r="D2351" s="7"/>
      <c r="E2351" s="7"/>
      <c r="F2351" s="7">
        <f t="shared" si="403"/>
        <v>28</v>
      </c>
      <c r="G2351" s="8"/>
      <c r="H2351" s="7">
        <f t="shared" si="404"/>
        <v>0</v>
      </c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9">
        <f t="shared" si="401"/>
        <v>28</v>
      </c>
      <c r="T2351" s="10">
        <f t="shared" si="402"/>
        <v>0</v>
      </c>
      <c r="U2351" s="10"/>
    </row>
    <row r="2352" spans="1:21">
      <c r="A2352" s="6"/>
      <c r="B2352" s="11" t="s">
        <v>85</v>
      </c>
      <c r="C2352" s="7" t="s">
        <v>61</v>
      </c>
      <c r="D2352" s="7"/>
      <c r="E2352" s="7"/>
      <c r="F2352" s="7">
        <f t="shared" si="403"/>
        <v>0</v>
      </c>
      <c r="G2352" s="8"/>
      <c r="H2352" s="7">
        <f t="shared" si="404"/>
        <v>0</v>
      </c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9">
        <f t="shared" si="401"/>
        <v>0</v>
      </c>
      <c r="T2352" s="10">
        <f t="shared" si="402"/>
        <v>0</v>
      </c>
      <c r="U2352" s="10"/>
    </row>
    <row r="2353" spans="1:21">
      <c r="A2353" s="6"/>
      <c r="B2353" s="11" t="s">
        <v>86</v>
      </c>
      <c r="C2353" s="7" t="s">
        <v>61</v>
      </c>
      <c r="D2353" s="7"/>
      <c r="E2353" s="7"/>
      <c r="F2353" s="7">
        <f t="shared" si="403"/>
        <v>10</v>
      </c>
      <c r="G2353" s="8"/>
      <c r="H2353" s="7">
        <f t="shared" si="404"/>
        <v>0</v>
      </c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9">
        <f t="shared" si="401"/>
        <v>10</v>
      </c>
      <c r="T2353" s="10">
        <f t="shared" si="402"/>
        <v>0</v>
      </c>
      <c r="U2353" s="10"/>
    </row>
    <row r="2354" spans="1:21">
      <c r="A2354" s="6"/>
      <c r="B2354" s="11" t="s">
        <v>87</v>
      </c>
      <c r="C2354" s="7" t="s">
        <v>26</v>
      </c>
      <c r="D2354" s="7"/>
      <c r="E2354" s="7"/>
      <c r="F2354" s="7">
        <f t="shared" si="403"/>
        <v>0</v>
      </c>
      <c r="G2354" s="8"/>
      <c r="H2354" s="7">
        <f t="shared" si="404"/>
        <v>0</v>
      </c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9">
        <f t="shared" si="401"/>
        <v>0</v>
      </c>
      <c r="T2354" s="10">
        <f t="shared" si="402"/>
        <v>0</v>
      </c>
      <c r="U2354" s="10"/>
    </row>
    <row r="2355" spans="1:21">
      <c r="A2355" s="6"/>
      <c r="B2355" s="11" t="s">
        <v>88</v>
      </c>
      <c r="C2355" s="7"/>
      <c r="D2355" s="7"/>
      <c r="E2355" s="7"/>
      <c r="F2355" s="7">
        <f t="shared" si="403"/>
        <v>7</v>
      </c>
      <c r="G2355" s="8"/>
      <c r="H2355" s="7">
        <f t="shared" si="404"/>
        <v>0</v>
      </c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9">
        <f t="shared" si="401"/>
        <v>7</v>
      </c>
      <c r="T2355" s="10">
        <f t="shared" si="402"/>
        <v>0</v>
      </c>
      <c r="U2355" s="10"/>
    </row>
    <row r="2356" spans="1:21">
      <c r="A2356" s="6"/>
      <c r="B2356" s="11" t="s">
        <v>89</v>
      </c>
      <c r="C2356" s="7" t="s">
        <v>26</v>
      </c>
      <c r="D2356" s="7"/>
      <c r="E2356" s="7"/>
      <c r="F2356" s="7">
        <f t="shared" si="403"/>
        <v>858</v>
      </c>
      <c r="G2356" s="8"/>
      <c r="H2356" s="7">
        <f t="shared" si="404"/>
        <v>0</v>
      </c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9">
        <f t="shared" si="401"/>
        <v>858</v>
      </c>
      <c r="T2356" s="10">
        <f t="shared" si="402"/>
        <v>0</v>
      </c>
      <c r="U2356" s="10"/>
    </row>
    <row r="2357" spans="1:21">
      <c r="A2357" s="6"/>
      <c r="B2357" s="11" t="s">
        <v>90</v>
      </c>
      <c r="C2357" s="7" t="s">
        <v>26</v>
      </c>
      <c r="D2357" s="7"/>
      <c r="E2357" s="7"/>
      <c r="F2357" s="7">
        <f t="shared" si="403"/>
        <v>0</v>
      </c>
      <c r="G2357" s="8"/>
      <c r="H2357" s="7">
        <f t="shared" si="404"/>
        <v>0</v>
      </c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9">
        <f t="shared" si="401"/>
        <v>0</v>
      </c>
      <c r="T2357" s="10">
        <f t="shared" si="402"/>
        <v>0</v>
      </c>
      <c r="U2357" s="10"/>
    </row>
    <row r="2358" spans="1:21">
      <c r="A2358" s="6"/>
      <c r="B2358" s="11" t="s">
        <v>91</v>
      </c>
      <c r="C2358" s="7" t="s">
        <v>26</v>
      </c>
      <c r="D2358" s="7"/>
      <c r="E2358" s="7"/>
      <c r="F2358" s="7">
        <f t="shared" si="403"/>
        <v>138</v>
      </c>
      <c r="G2358" s="8"/>
      <c r="H2358" s="7">
        <f t="shared" si="404"/>
        <v>0</v>
      </c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9">
        <f t="shared" si="401"/>
        <v>138</v>
      </c>
      <c r="T2358" s="10">
        <f t="shared" si="402"/>
        <v>0</v>
      </c>
      <c r="U2358" s="10"/>
    </row>
    <row r="2359" spans="1:21">
      <c r="A2359" s="6"/>
      <c r="B2359" s="12" t="s">
        <v>92</v>
      </c>
      <c r="C2359" s="13" t="s">
        <v>26</v>
      </c>
      <c r="D2359" s="7"/>
      <c r="E2359" s="7"/>
      <c r="F2359" s="7">
        <f t="shared" si="403"/>
        <v>1016</v>
      </c>
      <c r="G2359" s="8">
        <v>480</v>
      </c>
      <c r="H2359" s="7">
        <f t="shared" si="404"/>
        <v>0</v>
      </c>
      <c r="I2359" s="7"/>
      <c r="J2359" s="7">
        <v>180</v>
      </c>
      <c r="K2359" s="7"/>
      <c r="L2359" s="7"/>
      <c r="M2359" s="7"/>
      <c r="N2359" s="7"/>
      <c r="O2359" s="7"/>
      <c r="P2359" s="7"/>
      <c r="Q2359" s="7"/>
      <c r="R2359" s="7"/>
      <c r="S2359" s="9">
        <f t="shared" si="401"/>
        <v>1316</v>
      </c>
      <c r="T2359" s="10">
        <f t="shared" si="402"/>
        <v>0</v>
      </c>
      <c r="U2359" s="10"/>
    </row>
    <row r="2360" spans="1:21">
      <c r="A2360" s="6"/>
      <c r="B2360" s="12" t="s">
        <v>93</v>
      </c>
      <c r="C2360" s="13" t="s">
        <v>26</v>
      </c>
      <c r="D2360" s="7"/>
      <c r="E2360" s="7"/>
      <c r="F2360" s="7">
        <f t="shared" si="403"/>
        <v>1714</v>
      </c>
      <c r="G2360" s="8"/>
      <c r="H2360" s="7">
        <f t="shared" si="404"/>
        <v>0</v>
      </c>
      <c r="I2360" s="7"/>
      <c r="J2360" s="7"/>
      <c r="K2360" s="7"/>
      <c r="L2360" s="7"/>
      <c r="M2360" s="7">
        <v>75</v>
      </c>
      <c r="N2360" s="7"/>
      <c r="O2360" s="7"/>
      <c r="P2360" s="7"/>
      <c r="Q2360" s="7"/>
      <c r="R2360" s="7"/>
      <c r="S2360" s="9">
        <f t="shared" si="401"/>
        <v>1789</v>
      </c>
      <c r="T2360" s="10">
        <f t="shared" si="402"/>
        <v>0</v>
      </c>
      <c r="U2360" s="10"/>
    </row>
    <row r="2361" spans="1:21">
      <c r="A2361" s="6"/>
      <c r="B2361" s="11" t="s">
        <v>94</v>
      </c>
      <c r="C2361" s="7" t="s">
        <v>41</v>
      </c>
      <c r="D2361" s="7"/>
      <c r="E2361" s="7"/>
      <c r="F2361" s="7">
        <f t="shared" si="403"/>
        <v>0</v>
      </c>
      <c r="G2361" s="8"/>
      <c r="H2361" s="7">
        <f t="shared" si="404"/>
        <v>0</v>
      </c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9">
        <f t="shared" si="401"/>
        <v>0</v>
      </c>
      <c r="T2361" s="10">
        <f t="shared" si="402"/>
        <v>0</v>
      </c>
      <c r="U2361" s="10"/>
    </row>
    <row r="2362" spans="1:21">
      <c r="A2362" s="6"/>
      <c r="B2362" s="11" t="s">
        <v>95</v>
      </c>
      <c r="C2362" s="7" t="s">
        <v>41</v>
      </c>
      <c r="D2362" s="7"/>
      <c r="E2362" s="7"/>
      <c r="F2362" s="7">
        <f t="shared" si="403"/>
        <v>39</v>
      </c>
      <c r="G2362" s="8"/>
      <c r="H2362" s="7">
        <f t="shared" si="404"/>
        <v>0</v>
      </c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9">
        <f t="shared" si="401"/>
        <v>39</v>
      </c>
      <c r="T2362" s="10">
        <f t="shared" si="402"/>
        <v>0</v>
      </c>
      <c r="U2362" s="10"/>
    </row>
    <row r="2363" spans="1:21">
      <c r="A2363" s="6"/>
      <c r="B2363" s="11" t="s">
        <v>96</v>
      </c>
      <c r="C2363" s="7" t="s">
        <v>41</v>
      </c>
      <c r="D2363" s="7"/>
      <c r="E2363" s="7"/>
      <c r="F2363" s="7">
        <f t="shared" si="403"/>
        <v>0</v>
      </c>
      <c r="G2363" s="8"/>
      <c r="H2363" s="7">
        <f t="shared" si="404"/>
        <v>0</v>
      </c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9">
        <f t="shared" si="401"/>
        <v>0</v>
      </c>
      <c r="T2363" s="10">
        <f t="shared" si="402"/>
        <v>0</v>
      </c>
      <c r="U2363" s="10"/>
    </row>
    <row r="2364" spans="1:21">
      <c r="A2364" s="6"/>
      <c r="B2364" s="11" t="s">
        <v>97</v>
      </c>
      <c r="C2364" s="7" t="s">
        <v>41</v>
      </c>
      <c r="D2364" s="7"/>
      <c r="E2364" s="7"/>
      <c r="F2364" s="7">
        <f t="shared" si="403"/>
        <v>0</v>
      </c>
      <c r="G2364" s="8"/>
      <c r="H2364" s="7">
        <f t="shared" si="404"/>
        <v>0</v>
      </c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9">
        <f t="shared" si="401"/>
        <v>0</v>
      </c>
      <c r="T2364" s="10">
        <f t="shared" si="402"/>
        <v>0</v>
      </c>
      <c r="U2364" s="10"/>
    </row>
    <row r="2365" spans="1:21">
      <c r="A2365" s="6"/>
      <c r="B2365" s="11" t="s">
        <v>98</v>
      </c>
      <c r="C2365" s="7" t="s">
        <v>26</v>
      </c>
      <c r="D2365" s="7"/>
      <c r="E2365" s="7"/>
      <c r="F2365" s="7">
        <f t="shared" si="403"/>
        <v>859</v>
      </c>
      <c r="G2365" s="8">
        <v>400</v>
      </c>
      <c r="H2365" s="7">
        <f t="shared" si="404"/>
        <v>0</v>
      </c>
      <c r="I2365" s="7"/>
      <c r="J2365" s="7">
        <v>180</v>
      </c>
      <c r="K2365" s="7"/>
      <c r="L2365" s="7"/>
      <c r="M2365" s="7"/>
      <c r="N2365" s="7"/>
      <c r="O2365" s="7"/>
      <c r="P2365" s="7"/>
      <c r="Q2365" s="7"/>
      <c r="R2365" s="7"/>
      <c r="S2365" s="9">
        <f t="shared" si="401"/>
        <v>1079</v>
      </c>
      <c r="T2365" s="10">
        <f t="shared" si="402"/>
        <v>0</v>
      </c>
      <c r="U2365" s="10"/>
    </row>
    <row r="2366" spans="1:21">
      <c r="A2366" s="6"/>
      <c r="B2366" s="11" t="s">
        <v>99</v>
      </c>
      <c r="C2366" s="7" t="s">
        <v>26</v>
      </c>
      <c r="D2366" s="7"/>
      <c r="E2366" s="7"/>
      <c r="F2366" s="7">
        <f t="shared" si="403"/>
        <v>123</v>
      </c>
      <c r="G2366" s="8"/>
      <c r="H2366" s="7">
        <f t="shared" si="404"/>
        <v>0</v>
      </c>
      <c r="I2366" s="7"/>
      <c r="J2366" s="7"/>
      <c r="K2366" s="7"/>
      <c r="L2366" s="7"/>
      <c r="M2366" s="7">
        <v>41</v>
      </c>
      <c r="N2366" s="7"/>
      <c r="O2366" s="7"/>
      <c r="P2366" s="7"/>
      <c r="Q2366" s="7"/>
      <c r="R2366" s="7"/>
      <c r="S2366" s="9">
        <f t="shared" si="401"/>
        <v>164</v>
      </c>
      <c r="T2366" s="10">
        <f t="shared" si="402"/>
        <v>0</v>
      </c>
      <c r="U2366" s="10"/>
    </row>
    <row r="2367" spans="1:21">
      <c r="A2367" s="6"/>
      <c r="B2367" s="11" t="s">
        <v>100</v>
      </c>
      <c r="C2367" s="7" t="s">
        <v>26</v>
      </c>
      <c r="D2367" s="7"/>
      <c r="E2367" s="7"/>
      <c r="F2367" s="7">
        <f t="shared" si="403"/>
        <v>62</v>
      </c>
      <c r="G2367" s="8">
        <v>598</v>
      </c>
      <c r="H2367" s="7">
        <f t="shared" si="404"/>
        <v>0</v>
      </c>
      <c r="I2367" s="7"/>
      <c r="J2367" s="7">
        <v>60</v>
      </c>
      <c r="K2367" s="7"/>
      <c r="L2367" s="7"/>
      <c r="M2367" s="7"/>
      <c r="N2367" s="7"/>
      <c r="O2367" s="7"/>
      <c r="P2367" s="7"/>
      <c r="Q2367" s="7"/>
      <c r="R2367" s="7"/>
      <c r="S2367" s="9">
        <f t="shared" si="401"/>
        <v>600</v>
      </c>
      <c r="T2367" s="10">
        <f t="shared" si="402"/>
        <v>0</v>
      </c>
      <c r="U2367" s="10"/>
    </row>
    <row r="2368" spans="1:21">
      <c r="A2368" s="6"/>
      <c r="B2368" s="11" t="s">
        <v>101</v>
      </c>
      <c r="C2368" s="7" t="s">
        <v>26</v>
      </c>
      <c r="D2368" s="7"/>
      <c r="E2368" s="7"/>
      <c r="F2368" s="7">
        <f t="shared" si="403"/>
        <v>211</v>
      </c>
      <c r="G2368" s="8"/>
      <c r="H2368" s="7">
        <f t="shared" si="404"/>
        <v>0</v>
      </c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9">
        <f t="shared" si="401"/>
        <v>211</v>
      </c>
      <c r="T2368" s="10">
        <f t="shared" si="402"/>
        <v>0</v>
      </c>
      <c r="U2368" s="10"/>
    </row>
    <row r="2369" spans="1:25">
      <c r="A2369" s="6"/>
      <c r="B2369" s="11" t="s">
        <v>102</v>
      </c>
      <c r="C2369" s="7" t="s">
        <v>26</v>
      </c>
      <c r="D2369" s="7"/>
      <c r="E2369" s="7"/>
      <c r="F2369" s="7">
        <f t="shared" si="403"/>
        <v>366</v>
      </c>
      <c r="G2369" s="8">
        <v>703</v>
      </c>
      <c r="H2369" s="7">
        <f t="shared" si="404"/>
        <v>0</v>
      </c>
      <c r="I2369" s="7"/>
      <c r="J2369" s="7">
        <v>60</v>
      </c>
      <c r="K2369" s="7"/>
      <c r="L2369" s="7"/>
      <c r="M2369" s="7"/>
      <c r="N2369" s="7"/>
      <c r="O2369" s="7"/>
      <c r="P2369" s="7"/>
      <c r="Q2369" s="7"/>
      <c r="R2369" s="7"/>
      <c r="S2369" s="9">
        <f t="shared" si="401"/>
        <v>1009</v>
      </c>
      <c r="T2369" s="10">
        <f t="shared" si="402"/>
        <v>0</v>
      </c>
      <c r="U2369" s="10"/>
    </row>
    <row r="2370" spans="1:25">
      <c r="A2370" s="6"/>
      <c r="B2370" s="11" t="s">
        <v>103</v>
      </c>
      <c r="C2370" s="7" t="s">
        <v>26</v>
      </c>
      <c r="D2370" s="7"/>
      <c r="E2370" s="7"/>
      <c r="F2370" s="7">
        <f t="shared" si="403"/>
        <v>577</v>
      </c>
      <c r="G2370" s="8"/>
      <c r="H2370" s="7">
        <f t="shared" si="404"/>
        <v>0</v>
      </c>
      <c r="I2370" s="7"/>
      <c r="J2370" s="7"/>
      <c r="K2370" s="7"/>
      <c r="L2370" s="7"/>
      <c r="M2370" s="7">
        <v>43</v>
      </c>
      <c r="N2370" s="7"/>
      <c r="O2370" s="7"/>
      <c r="P2370" s="7"/>
      <c r="Q2370" s="7"/>
      <c r="R2370" s="7"/>
      <c r="S2370" s="9">
        <f t="shared" si="401"/>
        <v>620</v>
      </c>
      <c r="T2370" s="10">
        <f t="shared" si="402"/>
        <v>0</v>
      </c>
      <c r="U2370" s="10"/>
    </row>
    <row r="2371" spans="1:25">
      <c r="A2371" s="6"/>
      <c r="B2371" s="11" t="s">
        <v>112</v>
      </c>
      <c r="C2371" s="7" t="s">
        <v>113</v>
      </c>
      <c r="D2371" s="7"/>
      <c r="E2371" s="7"/>
      <c r="F2371" s="7">
        <f t="shared" si="403"/>
        <v>900</v>
      </c>
      <c r="G2371" s="8"/>
      <c r="H2371" s="7">
        <f t="shared" si="404"/>
        <v>0</v>
      </c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9">
        <f t="shared" si="401"/>
        <v>900</v>
      </c>
      <c r="T2371" s="10">
        <f t="shared" si="402"/>
        <v>0</v>
      </c>
      <c r="U2371" s="10"/>
    </row>
    <row r="2372" spans="1:25">
      <c r="A2372" s="6"/>
      <c r="B2372" s="11"/>
      <c r="C2372" s="7"/>
      <c r="D2372" s="7"/>
      <c r="E2372" s="7"/>
      <c r="F2372" s="7">
        <f t="shared" si="403"/>
        <v>0</v>
      </c>
      <c r="G2372" s="8"/>
      <c r="H2372" s="7">
        <f t="shared" si="404"/>
        <v>0</v>
      </c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9">
        <f t="shared" si="401"/>
        <v>0</v>
      </c>
      <c r="T2372" s="10">
        <f t="shared" si="402"/>
        <v>0</v>
      </c>
      <c r="U2372" s="10"/>
    </row>
    <row r="2373" spans="1:25">
      <c r="A2373" s="6"/>
      <c r="B2373" s="11"/>
      <c r="C2373" s="7"/>
      <c r="D2373" s="7"/>
      <c r="E2373" s="7"/>
      <c r="F2373" s="7">
        <f t="shared" si="403"/>
        <v>0</v>
      </c>
      <c r="G2373" s="8"/>
      <c r="H2373" s="7">
        <f t="shared" si="404"/>
        <v>0</v>
      </c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9">
        <f t="shared" si="401"/>
        <v>0</v>
      </c>
      <c r="T2373" s="10">
        <f t="shared" si="402"/>
        <v>0</v>
      </c>
      <c r="U2373" s="10"/>
    </row>
    <row r="2374" spans="1:25">
      <c r="A2374" s="6"/>
      <c r="B2374" s="11"/>
      <c r="C2374" s="7"/>
      <c r="D2374" s="7"/>
      <c r="E2374" s="7"/>
      <c r="F2374" s="7">
        <f t="shared" si="403"/>
        <v>0</v>
      </c>
      <c r="G2374" s="8"/>
      <c r="H2374" s="7">
        <f t="shared" si="404"/>
        <v>0</v>
      </c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9">
        <f t="shared" si="401"/>
        <v>0</v>
      </c>
      <c r="T2374" s="10">
        <f t="shared" si="402"/>
        <v>0</v>
      </c>
      <c r="U2374" s="10"/>
    </row>
    <row r="2375" spans="1:25">
      <c r="A2375" s="6"/>
      <c r="B2375" s="11"/>
      <c r="C2375" s="7"/>
      <c r="D2375" s="7"/>
      <c r="E2375" s="7"/>
      <c r="F2375" s="7">
        <f t="shared" si="403"/>
        <v>0</v>
      </c>
      <c r="G2375" s="8"/>
      <c r="H2375" s="7">
        <f t="shared" si="404"/>
        <v>0</v>
      </c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9">
        <f t="shared" si="401"/>
        <v>0</v>
      </c>
      <c r="T2375" s="10">
        <f t="shared" si="402"/>
        <v>0</v>
      </c>
      <c r="U2375" s="10"/>
    </row>
    <row r="2376" spans="1:25">
      <c r="A2376" s="6"/>
      <c r="B2376" s="11"/>
      <c r="C2376" s="7"/>
      <c r="D2376" s="7"/>
      <c r="E2376" s="7"/>
      <c r="F2376" s="7">
        <f t="shared" si="403"/>
        <v>0</v>
      </c>
      <c r="G2376" s="8"/>
      <c r="H2376" s="7">
        <f t="shared" si="404"/>
        <v>0</v>
      </c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9">
        <f t="shared" si="401"/>
        <v>0</v>
      </c>
      <c r="T2376" s="10">
        <f t="shared" si="402"/>
        <v>0</v>
      </c>
      <c r="U2376" s="10"/>
    </row>
    <row r="2377" spans="1:25">
      <c r="A2377" s="6"/>
      <c r="B2377" s="11"/>
      <c r="C2377" s="7"/>
      <c r="D2377" s="7"/>
      <c r="E2377" s="7"/>
      <c r="F2377" s="7">
        <f t="shared" si="403"/>
        <v>0</v>
      </c>
      <c r="G2377" s="8"/>
      <c r="H2377" s="7">
        <f t="shared" si="404"/>
        <v>0</v>
      </c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9">
        <f t="shared" si="401"/>
        <v>0</v>
      </c>
      <c r="T2377" s="10">
        <f t="shared" si="402"/>
        <v>0</v>
      </c>
      <c r="U2377" s="10"/>
    </row>
    <row r="2378" spans="1:25">
      <c r="A2378" s="6"/>
      <c r="B2378" s="11"/>
      <c r="C2378" s="7"/>
      <c r="D2378" s="7"/>
      <c r="E2378" s="7"/>
      <c r="F2378" s="7">
        <f t="shared" si="403"/>
        <v>0</v>
      </c>
      <c r="G2378" s="8"/>
      <c r="H2378" s="7">
        <f t="shared" si="404"/>
        <v>0</v>
      </c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9">
        <f t="shared" si="401"/>
        <v>0</v>
      </c>
      <c r="T2378" s="10">
        <f t="shared" si="402"/>
        <v>0</v>
      </c>
      <c r="U2378" s="10"/>
    </row>
    <row r="2379" spans="1:25">
      <c r="A2379" s="6"/>
      <c r="B2379" s="11"/>
      <c r="C2379" s="7"/>
      <c r="D2379" s="7"/>
      <c r="E2379" s="7"/>
      <c r="F2379" s="7">
        <f t="shared" si="403"/>
        <v>0</v>
      </c>
      <c r="G2379" s="8"/>
      <c r="H2379" s="7">
        <f t="shared" si="404"/>
        <v>0</v>
      </c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9">
        <f t="shared" si="401"/>
        <v>0</v>
      </c>
      <c r="T2379" s="10">
        <f t="shared" si="402"/>
        <v>0</v>
      </c>
      <c r="U2379" s="10"/>
    </row>
    <row r="2380" spans="1:25">
      <c r="A2380" s="6"/>
      <c r="B2380" s="11"/>
      <c r="C2380" s="7"/>
      <c r="D2380" s="7"/>
      <c r="E2380" s="7"/>
      <c r="F2380" s="7">
        <f t="shared" si="403"/>
        <v>0</v>
      </c>
      <c r="G2380" s="8"/>
      <c r="H2380" s="7">
        <f t="shared" si="404"/>
        <v>0</v>
      </c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9">
        <f t="shared" si="401"/>
        <v>0</v>
      </c>
      <c r="T2380" s="10">
        <f t="shared" si="402"/>
        <v>0</v>
      </c>
      <c r="U2380" s="10"/>
    </row>
    <row r="2381" spans="1:25">
      <c r="A2381" s="6"/>
      <c r="B2381" s="11"/>
      <c r="C2381" s="7"/>
      <c r="D2381" s="7"/>
      <c r="E2381" s="7"/>
      <c r="F2381" s="7">
        <f t="shared" si="403"/>
        <v>0</v>
      </c>
      <c r="G2381" s="8"/>
      <c r="H2381" s="7">
        <f t="shared" si="404"/>
        <v>0</v>
      </c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9">
        <f t="shared" si="401"/>
        <v>0</v>
      </c>
      <c r="T2381" s="10">
        <f t="shared" si="402"/>
        <v>0</v>
      </c>
      <c r="U2381" s="10"/>
      <c r="V2381">
        <f>X2381*0.1</f>
        <v>0</v>
      </c>
      <c r="W2381">
        <f>E2381*S2381*1.5</f>
        <v>0</v>
      </c>
      <c r="X2381">
        <f>J2381+K2381</f>
        <v>0</v>
      </c>
      <c r="Y2381">
        <f>X2381*0.13</f>
        <v>0</v>
      </c>
    </row>
    <row r="2382" spans="1:25">
      <c r="A2382" s="6">
        <v>46171</v>
      </c>
      <c r="B2382" t="s">
        <v>25</v>
      </c>
      <c r="C2382" s="7" t="s">
        <v>26</v>
      </c>
      <c r="D2382" s="7"/>
      <c r="E2382" s="7"/>
      <c r="F2382" s="7">
        <f t="shared" si="403"/>
        <v>549</v>
      </c>
      <c r="G2382" s="8"/>
      <c r="H2382" s="7">
        <f t="shared" si="404"/>
        <v>0</v>
      </c>
      <c r="I2382" s="7"/>
      <c r="J2382" s="7">
        <v>120</v>
      </c>
      <c r="K2382" s="7"/>
      <c r="L2382" s="7"/>
      <c r="M2382" s="7">
        <v>1</v>
      </c>
      <c r="N2382" s="7"/>
      <c r="O2382" s="7"/>
      <c r="P2382" s="7"/>
      <c r="Q2382" s="7"/>
      <c r="R2382" s="7"/>
      <c r="S2382" s="9">
        <f t="shared" si="401"/>
        <v>430</v>
      </c>
      <c r="T2382" s="10">
        <f t="shared" si="402"/>
        <v>0</v>
      </c>
      <c r="U2382" s="10"/>
      <c r="V2382">
        <f t="shared" ref="V2382:V2388" si="405">X2382*0.1</f>
        <v>12</v>
      </c>
      <c r="W2382">
        <f t="shared" ref="W2382:W2388" si="406">E2382*S2382*1.5</f>
        <v>0</v>
      </c>
      <c r="X2382">
        <f t="shared" ref="X2382:X2388" si="407">J2382+K2382</f>
        <v>120</v>
      </c>
      <c r="Y2382">
        <f t="shared" ref="Y2382:Y2388" si="408">X2382*0.13</f>
        <v>15.6</v>
      </c>
    </row>
    <row r="2383" spans="1:25">
      <c r="A2383" s="6"/>
      <c r="B2383" t="s">
        <v>27</v>
      </c>
      <c r="C2383" s="7" t="s">
        <v>26</v>
      </c>
      <c r="D2383" s="7"/>
      <c r="E2383" s="7"/>
      <c r="F2383" s="7">
        <f t="shared" si="403"/>
        <v>909</v>
      </c>
      <c r="G2383" s="8"/>
      <c r="H2383" s="7">
        <f t="shared" si="404"/>
        <v>0</v>
      </c>
      <c r="I2383" s="7"/>
      <c r="J2383" s="7"/>
      <c r="K2383" s="7"/>
      <c r="L2383" s="7"/>
      <c r="M2383" s="7">
        <v>18</v>
      </c>
      <c r="N2383" s="7"/>
      <c r="O2383" s="7"/>
      <c r="P2383" s="7"/>
      <c r="Q2383" s="7"/>
      <c r="R2383" s="7"/>
      <c r="S2383" s="9">
        <f t="shared" si="401"/>
        <v>927</v>
      </c>
      <c r="T2383" s="10">
        <f t="shared" si="402"/>
        <v>0</v>
      </c>
      <c r="U2383" s="10"/>
      <c r="V2383">
        <f t="shared" si="405"/>
        <v>0</v>
      </c>
      <c r="W2383">
        <f t="shared" si="406"/>
        <v>0</v>
      </c>
      <c r="X2383">
        <f t="shared" si="407"/>
        <v>0</v>
      </c>
      <c r="Y2383">
        <f t="shared" si="408"/>
        <v>0</v>
      </c>
    </row>
    <row r="2384" spans="1:25">
      <c r="A2384" s="6"/>
      <c r="B2384" s="6" t="s">
        <v>28</v>
      </c>
      <c r="C2384" s="7" t="s">
        <v>26</v>
      </c>
      <c r="D2384" s="7"/>
      <c r="E2384" s="7"/>
      <c r="F2384" s="7">
        <f t="shared" si="403"/>
        <v>927</v>
      </c>
      <c r="G2384" s="8"/>
      <c r="H2384" s="7">
        <f t="shared" si="404"/>
        <v>0</v>
      </c>
      <c r="I2384" s="7"/>
      <c r="J2384" s="7">
        <v>80</v>
      </c>
      <c r="K2384" s="7"/>
      <c r="L2384" s="7"/>
      <c r="M2384" s="7">
        <v>2</v>
      </c>
      <c r="N2384" s="7"/>
      <c r="O2384" s="7"/>
      <c r="P2384" s="7"/>
      <c r="Q2384" s="7"/>
      <c r="R2384" s="7"/>
      <c r="S2384" s="9">
        <f t="shared" si="401"/>
        <v>849</v>
      </c>
      <c r="T2384" s="10">
        <f t="shared" si="402"/>
        <v>0</v>
      </c>
      <c r="U2384" s="10"/>
      <c r="V2384">
        <f t="shared" si="405"/>
        <v>8</v>
      </c>
      <c r="W2384">
        <f t="shared" si="406"/>
        <v>0</v>
      </c>
      <c r="X2384">
        <f t="shared" si="407"/>
        <v>80</v>
      </c>
      <c r="Y2384">
        <f t="shared" si="408"/>
        <v>10.4</v>
      </c>
    </row>
    <row r="2385" spans="1:25">
      <c r="A2385" s="6"/>
      <c r="B2385" s="6" t="s">
        <v>29</v>
      </c>
      <c r="C2385" s="7" t="s">
        <v>26</v>
      </c>
      <c r="D2385" s="7"/>
      <c r="E2385" s="7"/>
      <c r="F2385" s="7">
        <f t="shared" si="403"/>
        <v>385</v>
      </c>
      <c r="G2385" s="8"/>
      <c r="H2385" s="7">
        <f t="shared" si="404"/>
        <v>0</v>
      </c>
      <c r="I2385" s="7"/>
      <c r="J2385" s="7"/>
      <c r="K2385" s="7"/>
      <c r="L2385" s="7"/>
      <c r="M2385" s="7">
        <v>100</v>
      </c>
      <c r="N2385" s="7"/>
      <c r="O2385" s="7"/>
      <c r="P2385" s="7"/>
      <c r="Q2385" s="7"/>
      <c r="R2385" s="7"/>
      <c r="S2385" s="9">
        <f t="shared" si="401"/>
        <v>485</v>
      </c>
      <c r="T2385" s="10">
        <f t="shared" si="402"/>
        <v>0</v>
      </c>
      <c r="U2385" s="10"/>
      <c r="V2385">
        <f t="shared" si="405"/>
        <v>0</v>
      </c>
      <c r="W2385">
        <f t="shared" si="406"/>
        <v>0</v>
      </c>
      <c r="X2385">
        <f t="shared" si="407"/>
        <v>0</v>
      </c>
      <c r="Y2385">
        <f t="shared" si="408"/>
        <v>0</v>
      </c>
    </row>
    <row r="2386" spans="1:25">
      <c r="A2386" s="6"/>
      <c r="B2386" s="6" t="s">
        <v>30</v>
      </c>
      <c r="C2386" s="7" t="s">
        <v>26</v>
      </c>
      <c r="D2386" s="7"/>
      <c r="E2386" s="7"/>
      <c r="F2386" s="7">
        <f t="shared" si="403"/>
        <v>1878</v>
      </c>
      <c r="G2386" s="8"/>
      <c r="H2386" s="7">
        <f t="shared" si="404"/>
        <v>0</v>
      </c>
      <c r="I2386" s="7"/>
      <c r="J2386" s="7">
        <v>80</v>
      </c>
      <c r="K2386" s="7"/>
      <c r="L2386" s="7"/>
      <c r="M2386" s="7"/>
      <c r="N2386" s="7"/>
      <c r="O2386" s="7"/>
      <c r="P2386" s="7"/>
      <c r="Q2386" s="7"/>
      <c r="R2386" s="7"/>
      <c r="S2386" s="9">
        <f t="shared" si="401"/>
        <v>1798</v>
      </c>
      <c r="T2386" s="10">
        <f t="shared" si="402"/>
        <v>0</v>
      </c>
      <c r="U2386" s="10"/>
      <c r="V2386">
        <f t="shared" si="405"/>
        <v>8</v>
      </c>
      <c r="W2386">
        <f t="shared" si="406"/>
        <v>0</v>
      </c>
      <c r="X2386">
        <f t="shared" si="407"/>
        <v>80</v>
      </c>
      <c r="Y2386">
        <f t="shared" si="408"/>
        <v>10.4</v>
      </c>
    </row>
    <row r="2387" spans="1:25">
      <c r="A2387" s="6"/>
      <c r="B2387" s="6" t="s">
        <v>31</v>
      </c>
      <c r="C2387" s="7" t="s">
        <v>26</v>
      </c>
      <c r="D2387" s="7"/>
      <c r="E2387" s="7"/>
      <c r="F2387" s="7">
        <f t="shared" si="403"/>
        <v>1829</v>
      </c>
      <c r="G2387" s="8"/>
      <c r="H2387" s="7">
        <f t="shared" si="404"/>
        <v>0</v>
      </c>
      <c r="I2387" s="7"/>
      <c r="J2387" s="7"/>
      <c r="K2387" s="7"/>
      <c r="L2387" s="7"/>
      <c r="M2387" s="7">
        <v>21</v>
      </c>
      <c r="N2387" s="7"/>
      <c r="O2387" s="7"/>
      <c r="P2387" s="7"/>
      <c r="Q2387" s="7"/>
      <c r="R2387" s="7"/>
      <c r="S2387" s="9">
        <f>F2387+G2387-J2387-K2387-L2387+M2387+O2387-P2387-R2387</f>
        <v>1850</v>
      </c>
      <c r="T2387" s="10">
        <f>H2387+I2387+N2387+R2387-Q2387</f>
        <v>0</v>
      </c>
      <c r="U2387" s="10"/>
      <c r="V2387">
        <f t="shared" si="405"/>
        <v>0</v>
      </c>
      <c r="W2387">
        <f t="shared" si="406"/>
        <v>0</v>
      </c>
      <c r="X2387">
        <f t="shared" si="407"/>
        <v>0</v>
      </c>
      <c r="Y2387">
        <f t="shared" si="408"/>
        <v>0</v>
      </c>
    </row>
    <row r="2388" spans="1:25">
      <c r="A2388" s="6"/>
      <c r="B2388" s="6" t="s">
        <v>32</v>
      </c>
      <c r="C2388" s="7" t="s">
        <v>26</v>
      </c>
      <c r="D2388" s="7"/>
      <c r="E2388" s="7"/>
      <c r="F2388" s="7">
        <f t="shared" si="403"/>
        <v>1223</v>
      </c>
      <c r="G2388" s="8"/>
      <c r="H2388" s="7">
        <f t="shared" si="404"/>
        <v>0</v>
      </c>
      <c r="I2388" s="7"/>
      <c r="J2388" s="7">
        <v>240</v>
      </c>
      <c r="K2388" s="7"/>
      <c r="L2388" s="7"/>
      <c r="M2388" s="7"/>
      <c r="N2388" s="7"/>
      <c r="O2388" s="7"/>
      <c r="P2388" s="7"/>
      <c r="Q2388" s="7"/>
      <c r="R2388" s="7"/>
      <c r="S2388" s="9">
        <f>F2388+G2388-J2388-K2388-L2388+M2388+O2388-P2388-R2388</f>
        <v>983</v>
      </c>
      <c r="T2388" s="10">
        <f>H2388+I2388+N2388+R2388-Q2388</f>
        <v>0</v>
      </c>
      <c r="U2388" s="10"/>
      <c r="V2388">
        <f t="shared" si="405"/>
        <v>24</v>
      </c>
      <c r="W2388">
        <f t="shared" si="406"/>
        <v>0</v>
      </c>
      <c r="X2388">
        <f t="shared" si="407"/>
        <v>240</v>
      </c>
      <c r="Y2388">
        <f t="shared" si="408"/>
        <v>31.2</v>
      </c>
    </row>
    <row r="2389" spans="1:25">
      <c r="A2389" s="6"/>
      <c r="B2389" s="6" t="s">
        <v>33</v>
      </c>
      <c r="C2389" s="7" t="s">
        <v>26</v>
      </c>
      <c r="D2389" s="7"/>
      <c r="E2389" s="7"/>
      <c r="F2389" s="7">
        <f t="shared" si="403"/>
        <v>1842</v>
      </c>
      <c r="G2389" s="8"/>
      <c r="H2389" s="7">
        <f t="shared" si="404"/>
        <v>0</v>
      </c>
      <c r="I2389" s="7"/>
      <c r="J2389" s="7"/>
      <c r="K2389" s="7"/>
      <c r="L2389" s="7"/>
      <c r="M2389" s="7">
        <v>22</v>
      </c>
      <c r="N2389" s="7"/>
      <c r="O2389" s="7"/>
      <c r="P2389" s="7"/>
      <c r="Q2389" s="7"/>
      <c r="R2389" s="7"/>
      <c r="S2389" s="9">
        <f>F2389+G2389-J2389-K2389-L2389+M2389+O2389-P2389-R2389</f>
        <v>1864</v>
      </c>
      <c r="T2389" s="10">
        <f>H2389+I2389+N2389+R2389-Q2389</f>
        <v>0</v>
      </c>
      <c r="U2389" s="10"/>
    </row>
    <row r="2390" spans="1:25">
      <c r="A2390" s="6"/>
      <c r="B2390" s="11" t="s">
        <v>34</v>
      </c>
      <c r="C2390" s="7" t="s">
        <v>26</v>
      </c>
      <c r="D2390" s="7"/>
      <c r="E2390" s="7"/>
      <c r="F2390" s="7">
        <f t="shared" si="403"/>
        <v>17</v>
      </c>
      <c r="G2390" s="8"/>
      <c r="H2390" s="7">
        <f t="shared" si="404"/>
        <v>0</v>
      </c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9">
        <f>F2390+G2390-J2390-K2390-L2390+M2390+O2390-P2390-R2390</f>
        <v>17</v>
      </c>
      <c r="T2390" s="10">
        <f>H2390+I2390+N2390+R2390-Q2390</f>
        <v>0</v>
      </c>
      <c r="U2390" s="10"/>
    </row>
    <row r="2391" spans="1:25">
      <c r="A2391" s="6"/>
      <c r="B2391" s="11" t="s">
        <v>35</v>
      </c>
      <c r="C2391" s="7" t="s">
        <v>26</v>
      </c>
      <c r="D2391" s="7"/>
      <c r="E2391" s="7"/>
      <c r="F2391" s="7">
        <f t="shared" si="403"/>
        <v>120</v>
      </c>
      <c r="G2391" s="8"/>
      <c r="H2391" s="7">
        <f t="shared" si="404"/>
        <v>0</v>
      </c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9">
        <f>F2391+G2391-J2391-K2391-L2391+M2391+O2391-P2391-R2391</f>
        <v>120</v>
      </c>
      <c r="T2391" s="10">
        <f>H2391+I2391+N2391+R2391-Q2391</f>
        <v>0</v>
      </c>
      <c r="U2391" s="10"/>
    </row>
    <row r="2392" spans="1:25">
      <c r="A2392" s="6"/>
      <c r="B2392" s="11" t="s">
        <v>36</v>
      </c>
      <c r="C2392" s="7" t="s">
        <v>26</v>
      </c>
      <c r="D2392" s="7"/>
      <c r="E2392" s="7"/>
      <c r="F2392" s="7">
        <f t="shared" si="403"/>
        <v>5986</v>
      </c>
      <c r="G2392" s="8"/>
      <c r="H2392" s="7">
        <f t="shared" si="404"/>
        <v>0</v>
      </c>
      <c r="I2392" s="7"/>
      <c r="J2392" s="7">
        <v>400</v>
      </c>
      <c r="K2392" s="7"/>
      <c r="L2392" s="7"/>
      <c r="M2392" s="7"/>
      <c r="N2392" s="7"/>
      <c r="O2392" s="7">
        <v>91</v>
      </c>
      <c r="P2392" s="7"/>
      <c r="Q2392" s="7"/>
      <c r="R2392" s="7"/>
      <c r="S2392" s="9">
        <f t="shared" ref="S2392:S2455" si="409">F2392+G2392-J2392-K2392-L2392+M2392+O2392-P2392-R2392</f>
        <v>5677</v>
      </c>
      <c r="T2392" s="10">
        <f t="shared" ref="T2392:T2455" si="410">H2392+I2392+N2392+R2392-Q2392</f>
        <v>0</v>
      </c>
      <c r="U2392" s="10"/>
    </row>
    <row r="2393" spans="1:25">
      <c r="A2393" s="6"/>
      <c r="B2393" s="11" t="s">
        <v>37</v>
      </c>
      <c r="C2393" s="7" t="s">
        <v>26</v>
      </c>
      <c r="D2393" s="7"/>
      <c r="E2393" s="7"/>
      <c r="F2393" s="7">
        <f t="shared" si="403"/>
        <v>1697</v>
      </c>
      <c r="G2393" s="8"/>
      <c r="H2393" s="7">
        <f t="shared" si="404"/>
        <v>0</v>
      </c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9">
        <f t="shared" si="409"/>
        <v>1697</v>
      </c>
      <c r="T2393" s="10">
        <f t="shared" si="410"/>
        <v>0</v>
      </c>
      <c r="U2393" s="10"/>
    </row>
    <row r="2394" spans="1:25">
      <c r="A2394" s="6"/>
      <c r="B2394" s="11" t="s">
        <v>38</v>
      </c>
      <c r="C2394" s="7" t="s">
        <v>26</v>
      </c>
      <c r="D2394" s="7"/>
      <c r="E2394" s="7"/>
      <c r="F2394" s="7">
        <f t="shared" si="403"/>
        <v>0</v>
      </c>
      <c r="G2394" s="8"/>
      <c r="H2394" s="7">
        <f t="shared" si="404"/>
        <v>0</v>
      </c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9">
        <f t="shared" si="409"/>
        <v>0</v>
      </c>
      <c r="T2394" s="10">
        <f t="shared" si="410"/>
        <v>0</v>
      </c>
      <c r="U2394" s="10"/>
    </row>
    <row r="2395" spans="1:25">
      <c r="A2395" s="6"/>
      <c r="B2395" s="11" t="s">
        <v>39</v>
      </c>
      <c r="C2395" s="7" t="s">
        <v>26</v>
      </c>
      <c r="D2395" s="7"/>
      <c r="E2395" s="7"/>
      <c r="F2395" s="7">
        <f t="shared" si="403"/>
        <v>1973</v>
      </c>
      <c r="G2395" s="8"/>
      <c r="H2395" s="7">
        <f t="shared" si="404"/>
        <v>0</v>
      </c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9">
        <f t="shared" si="409"/>
        <v>1973</v>
      </c>
      <c r="T2395" s="10">
        <f t="shared" si="410"/>
        <v>0</v>
      </c>
      <c r="U2395" s="10"/>
    </row>
    <row r="2396" spans="1:25">
      <c r="A2396" s="6"/>
      <c r="B2396" s="11" t="s">
        <v>40</v>
      </c>
      <c r="C2396" s="7" t="s">
        <v>41</v>
      </c>
      <c r="D2396" s="7"/>
      <c r="E2396" s="7"/>
      <c r="F2396" s="7">
        <f t="shared" si="403"/>
        <v>0</v>
      </c>
      <c r="G2396" s="8"/>
      <c r="H2396" s="7">
        <f t="shared" si="404"/>
        <v>0</v>
      </c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9">
        <f t="shared" si="409"/>
        <v>0</v>
      </c>
      <c r="T2396" s="10">
        <f t="shared" si="410"/>
        <v>0</v>
      </c>
      <c r="U2396" s="10"/>
    </row>
    <row r="2397" spans="1:25">
      <c r="A2397" s="6"/>
      <c r="B2397" s="11" t="s">
        <v>42</v>
      </c>
      <c r="C2397" s="7" t="s">
        <v>41</v>
      </c>
      <c r="D2397" s="7"/>
      <c r="E2397" s="7"/>
      <c r="F2397" s="7">
        <f t="shared" si="403"/>
        <v>53</v>
      </c>
      <c r="G2397" s="8"/>
      <c r="H2397" s="7">
        <f t="shared" si="404"/>
        <v>0</v>
      </c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9">
        <f t="shared" si="409"/>
        <v>53</v>
      </c>
      <c r="T2397" s="10">
        <f t="shared" si="410"/>
        <v>0</v>
      </c>
      <c r="U2397" s="10"/>
    </row>
    <row r="2398" spans="1:25">
      <c r="A2398" s="6"/>
      <c r="B2398" s="11" t="s">
        <v>43</v>
      </c>
      <c r="C2398" s="7" t="s">
        <v>41</v>
      </c>
      <c r="D2398" s="7"/>
      <c r="E2398" s="7"/>
      <c r="F2398" s="7">
        <f t="shared" si="403"/>
        <v>0</v>
      </c>
      <c r="G2398" s="8"/>
      <c r="H2398" s="7">
        <f t="shared" si="404"/>
        <v>0</v>
      </c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9">
        <f t="shared" si="409"/>
        <v>0</v>
      </c>
      <c r="T2398" s="10">
        <f t="shared" si="410"/>
        <v>0</v>
      </c>
      <c r="U2398" s="10"/>
    </row>
    <row r="2399" spans="1:25">
      <c r="A2399" s="6"/>
      <c r="B2399" s="11" t="s">
        <v>44</v>
      </c>
      <c r="C2399" s="7" t="s">
        <v>41</v>
      </c>
      <c r="D2399" s="7"/>
      <c r="E2399" s="7"/>
      <c r="F2399" s="7">
        <f t="shared" si="403"/>
        <v>75</v>
      </c>
      <c r="G2399" s="8"/>
      <c r="H2399" s="7">
        <f t="shared" si="404"/>
        <v>0</v>
      </c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9">
        <f t="shared" si="409"/>
        <v>75</v>
      </c>
      <c r="T2399" s="10">
        <f t="shared" si="410"/>
        <v>0</v>
      </c>
      <c r="U2399" s="10"/>
    </row>
    <row r="2400" spans="1:25">
      <c r="A2400" s="6"/>
      <c r="B2400" s="11" t="s">
        <v>45</v>
      </c>
      <c r="C2400" s="7" t="s">
        <v>41</v>
      </c>
      <c r="D2400" s="7"/>
      <c r="E2400" s="7"/>
      <c r="F2400" s="7">
        <f t="shared" si="403"/>
        <v>0</v>
      </c>
      <c r="G2400" s="8"/>
      <c r="H2400" s="7">
        <f t="shared" si="404"/>
        <v>0</v>
      </c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9">
        <f t="shared" si="409"/>
        <v>0</v>
      </c>
      <c r="T2400" s="10">
        <f t="shared" si="410"/>
        <v>0</v>
      </c>
      <c r="U2400" s="10"/>
    </row>
    <row r="2401" spans="1:21">
      <c r="A2401" s="6"/>
      <c r="B2401" s="11" t="s">
        <v>46</v>
      </c>
      <c r="C2401" s="7" t="s">
        <v>41</v>
      </c>
      <c r="D2401" s="7"/>
      <c r="E2401" s="7"/>
      <c r="F2401" s="7">
        <f t="shared" si="403"/>
        <v>17</v>
      </c>
      <c r="G2401" s="8"/>
      <c r="H2401" s="7">
        <f t="shared" si="404"/>
        <v>0</v>
      </c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9">
        <f t="shared" si="409"/>
        <v>17</v>
      </c>
      <c r="T2401" s="10">
        <f t="shared" si="410"/>
        <v>0</v>
      </c>
      <c r="U2401" s="10"/>
    </row>
    <row r="2402" spans="1:21">
      <c r="A2402" s="6"/>
      <c r="B2402" s="11" t="s">
        <v>47</v>
      </c>
      <c r="C2402" s="7" t="s">
        <v>26</v>
      </c>
      <c r="D2402" s="7"/>
      <c r="E2402" s="7"/>
      <c r="F2402" s="7">
        <f t="shared" si="403"/>
        <v>0</v>
      </c>
      <c r="G2402" s="8"/>
      <c r="H2402" s="7">
        <f t="shared" si="404"/>
        <v>0</v>
      </c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9">
        <f t="shared" si="409"/>
        <v>0</v>
      </c>
      <c r="T2402" s="10">
        <f t="shared" si="410"/>
        <v>0</v>
      </c>
      <c r="U2402" s="10"/>
    </row>
    <row r="2403" spans="1:21">
      <c r="A2403" s="6"/>
      <c r="B2403" s="11" t="s">
        <v>48</v>
      </c>
      <c r="C2403" s="7" t="s">
        <v>26</v>
      </c>
      <c r="D2403" s="7"/>
      <c r="E2403" s="7"/>
      <c r="F2403" s="7">
        <f t="shared" si="403"/>
        <v>56</v>
      </c>
      <c r="G2403" s="8"/>
      <c r="H2403" s="7">
        <f t="shared" si="404"/>
        <v>0</v>
      </c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9">
        <f t="shared" si="409"/>
        <v>56</v>
      </c>
      <c r="T2403" s="10">
        <f t="shared" si="410"/>
        <v>0</v>
      </c>
      <c r="U2403" s="10"/>
    </row>
    <row r="2404" spans="1:21">
      <c r="A2404" s="6"/>
      <c r="B2404" s="11" t="s">
        <v>50</v>
      </c>
      <c r="C2404" s="7" t="s">
        <v>26</v>
      </c>
      <c r="D2404" s="7"/>
      <c r="E2404" s="7"/>
      <c r="F2404" s="7">
        <f t="shared" si="403"/>
        <v>0</v>
      </c>
      <c r="G2404" s="8"/>
      <c r="H2404" s="7">
        <f t="shared" si="404"/>
        <v>0</v>
      </c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9">
        <f t="shared" si="409"/>
        <v>0</v>
      </c>
      <c r="T2404" s="10">
        <f t="shared" si="410"/>
        <v>0</v>
      </c>
      <c r="U2404" s="10"/>
    </row>
    <row r="2405" spans="1:21">
      <c r="A2405" s="6"/>
      <c r="B2405" s="11" t="s">
        <v>51</v>
      </c>
      <c r="C2405" s="7" t="s">
        <v>26</v>
      </c>
      <c r="D2405" s="7"/>
      <c r="E2405" s="7"/>
      <c r="F2405" s="7">
        <f t="shared" si="403"/>
        <v>0</v>
      </c>
      <c r="G2405" s="8"/>
      <c r="H2405" s="7">
        <f t="shared" si="404"/>
        <v>0</v>
      </c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9">
        <f t="shared" si="409"/>
        <v>0</v>
      </c>
      <c r="T2405" s="10">
        <f t="shared" si="410"/>
        <v>0</v>
      </c>
      <c r="U2405" s="10"/>
    </row>
    <row r="2406" spans="1:21">
      <c r="A2406" s="6"/>
      <c r="B2406" s="11" t="s">
        <v>52</v>
      </c>
      <c r="C2406" s="7" t="s">
        <v>26</v>
      </c>
      <c r="D2406" s="7"/>
      <c r="E2406" s="7"/>
      <c r="F2406" s="7">
        <f t="shared" si="403"/>
        <v>76</v>
      </c>
      <c r="G2406" s="8"/>
      <c r="H2406" s="7">
        <f t="shared" si="404"/>
        <v>0</v>
      </c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9">
        <f t="shared" si="409"/>
        <v>76</v>
      </c>
      <c r="T2406" s="10">
        <f t="shared" si="410"/>
        <v>0</v>
      </c>
      <c r="U2406" s="10"/>
    </row>
    <row r="2407" spans="1:21">
      <c r="A2407" s="6"/>
      <c r="B2407" s="11" t="s">
        <v>53</v>
      </c>
      <c r="C2407" s="7" t="s">
        <v>54</v>
      </c>
      <c r="D2407" s="7"/>
      <c r="E2407" s="7"/>
      <c r="F2407" s="7">
        <f t="shared" ref="F2407:F2470" si="411">S2322</f>
        <v>0</v>
      </c>
      <c r="G2407" s="8"/>
      <c r="H2407" s="7">
        <f t="shared" si="404"/>
        <v>0</v>
      </c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9">
        <f t="shared" si="409"/>
        <v>0</v>
      </c>
      <c r="T2407" s="10">
        <f t="shared" si="410"/>
        <v>0</v>
      </c>
      <c r="U2407" s="10"/>
    </row>
    <row r="2408" spans="1:21">
      <c r="A2408" s="6"/>
      <c r="B2408" s="11" t="s">
        <v>55</v>
      </c>
      <c r="C2408" s="7" t="s">
        <v>54</v>
      </c>
      <c r="D2408" s="7"/>
      <c r="E2408" s="7"/>
      <c r="F2408" s="7">
        <f t="shared" si="411"/>
        <v>15</v>
      </c>
      <c r="G2408" s="8"/>
      <c r="H2408" s="7">
        <f t="shared" ref="H2408:H2471" si="412">T2323</f>
        <v>0</v>
      </c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9">
        <f t="shared" si="409"/>
        <v>15</v>
      </c>
      <c r="T2408" s="10">
        <f t="shared" si="410"/>
        <v>0</v>
      </c>
      <c r="U2408" s="10"/>
    </row>
    <row r="2409" spans="1:21">
      <c r="A2409" s="6"/>
      <c r="B2409" s="11" t="s">
        <v>56</v>
      </c>
      <c r="C2409" s="7" t="s">
        <v>54</v>
      </c>
      <c r="D2409" s="7"/>
      <c r="E2409" s="7"/>
      <c r="F2409" s="7">
        <f t="shared" si="411"/>
        <v>2759</v>
      </c>
      <c r="G2409" s="8"/>
      <c r="H2409" s="7">
        <f t="shared" si="412"/>
        <v>0</v>
      </c>
      <c r="I2409" s="7"/>
      <c r="J2409" s="7">
        <v>270</v>
      </c>
      <c r="K2409" s="7"/>
      <c r="L2409" s="7"/>
      <c r="M2409" s="7"/>
      <c r="N2409" s="7"/>
      <c r="O2409" s="7"/>
      <c r="P2409" s="7"/>
      <c r="Q2409" s="7"/>
      <c r="R2409" s="7"/>
      <c r="S2409" s="9">
        <f t="shared" si="409"/>
        <v>2489</v>
      </c>
      <c r="T2409" s="10">
        <f t="shared" si="410"/>
        <v>0</v>
      </c>
      <c r="U2409" s="10"/>
    </row>
    <row r="2410" spans="1:21">
      <c r="A2410" s="6"/>
      <c r="B2410" s="11" t="s">
        <v>57</v>
      </c>
      <c r="C2410" s="7" t="s">
        <v>54</v>
      </c>
      <c r="D2410" s="7"/>
      <c r="E2410" s="7"/>
      <c r="F2410" s="7">
        <f t="shared" si="411"/>
        <v>451</v>
      </c>
      <c r="G2410" s="8"/>
      <c r="H2410" s="7">
        <f t="shared" si="412"/>
        <v>0</v>
      </c>
      <c r="I2410" s="7"/>
      <c r="J2410" s="7"/>
      <c r="K2410" s="7"/>
      <c r="L2410" s="7"/>
      <c r="M2410" s="7">
        <v>41</v>
      </c>
      <c r="N2410" s="7"/>
      <c r="O2410" s="7"/>
      <c r="P2410" s="7"/>
      <c r="Q2410" s="7"/>
      <c r="R2410" s="7"/>
      <c r="S2410" s="9">
        <f t="shared" si="409"/>
        <v>492</v>
      </c>
      <c r="T2410" s="10">
        <f t="shared" si="410"/>
        <v>0</v>
      </c>
      <c r="U2410" s="10"/>
    </row>
    <row r="2411" spans="1:21">
      <c r="A2411" s="6"/>
      <c r="B2411" s="11" t="s">
        <v>58</v>
      </c>
      <c r="C2411" s="7" t="s">
        <v>54</v>
      </c>
      <c r="D2411" s="7"/>
      <c r="E2411" s="7"/>
      <c r="F2411" s="7">
        <f t="shared" si="411"/>
        <v>0</v>
      </c>
      <c r="G2411" s="8"/>
      <c r="H2411" s="7">
        <f t="shared" si="412"/>
        <v>0</v>
      </c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9">
        <f t="shared" si="409"/>
        <v>0</v>
      </c>
      <c r="T2411" s="10">
        <f t="shared" si="410"/>
        <v>0</v>
      </c>
      <c r="U2411" s="10"/>
    </row>
    <row r="2412" spans="1:21">
      <c r="A2412" s="6"/>
      <c r="B2412" s="11" t="s">
        <v>59</v>
      </c>
      <c r="C2412" s="7" t="s">
        <v>54</v>
      </c>
      <c r="D2412" s="7"/>
      <c r="E2412" s="7"/>
      <c r="F2412" s="7">
        <f t="shared" si="411"/>
        <v>19</v>
      </c>
      <c r="G2412" s="8"/>
      <c r="H2412" s="7">
        <f t="shared" si="412"/>
        <v>0</v>
      </c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9">
        <f t="shared" si="409"/>
        <v>19</v>
      </c>
      <c r="T2412" s="10">
        <f t="shared" si="410"/>
        <v>0</v>
      </c>
      <c r="U2412" s="10"/>
    </row>
    <row r="2413" spans="1:21">
      <c r="A2413" s="6"/>
      <c r="B2413" s="11" t="s">
        <v>60</v>
      </c>
      <c r="C2413" s="7" t="s">
        <v>61</v>
      </c>
      <c r="D2413" s="7"/>
      <c r="E2413" s="7"/>
      <c r="F2413" s="7">
        <f t="shared" si="411"/>
        <v>0</v>
      </c>
      <c r="G2413" s="8"/>
      <c r="H2413" s="7">
        <f t="shared" si="412"/>
        <v>0</v>
      </c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9">
        <f t="shared" si="409"/>
        <v>0</v>
      </c>
      <c r="T2413" s="10">
        <f t="shared" si="410"/>
        <v>0</v>
      </c>
      <c r="U2413" s="10"/>
    </row>
    <row r="2414" spans="1:21">
      <c r="A2414" s="6"/>
      <c r="B2414" s="11" t="s">
        <v>62</v>
      </c>
      <c r="C2414" s="7" t="s">
        <v>61</v>
      </c>
      <c r="D2414" s="7"/>
      <c r="E2414" s="7"/>
      <c r="F2414" s="7">
        <f t="shared" si="411"/>
        <v>11</v>
      </c>
      <c r="G2414" s="8"/>
      <c r="H2414" s="7">
        <f t="shared" si="412"/>
        <v>0</v>
      </c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9">
        <f t="shared" si="409"/>
        <v>11</v>
      </c>
      <c r="T2414" s="10">
        <f t="shared" si="410"/>
        <v>0</v>
      </c>
      <c r="U2414" s="10"/>
    </row>
    <row r="2415" spans="1:21">
      <c r="A2415" s="6"/>
      <c r="B2415" s="10" t="s">
        <v>63</v>
      </c>
      <c r="C2415" s="10" t="s">
        <v>41</v>
      </c>
      <c r="D2415" s="7"/>
      <c r="E2415" s="7"/>
      <c r="F2415" s="7">
        <f t="shared" si="411"/>
        <v>0</v>
      </c>
      <c r="G2415" s="8"/>
      <c r="H2415" s="7">
        <f t="shared" si="412"/>
        <v>0</v>
      </c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9">
        <f t="shared" si="409"/>
        <v>0</v>
      </c>
      <c r="T2415" s="10">
        <f t="shared" si="410"/>
        <v>0</v>
      </c>
      <c r="U2415" s="10"/>
    </row>
    <row r="2416" spans="1:21">
      <c r="A2416" s="6"/>
      <c r="B2416" s="10" t="s">
        <v>64</v>
      </c>
      <c r="C2416" s="10" t="s">
        <v>41</v>
      </c>
      <c r="D2416" s="7"/>
      <c r="E2416" s="7"/>
      <c r="F2416" s="7">
        <f t="shared" si="411"/>
        <v>5</v>
      </c>
      <c r="G2416" s="8"/>
      <c r="H2416" s="7">
        <f t="shared" si="412"/>
        <v>0</v>
      </c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9">
        <f t="shared" si="409"/>
        <v>5</v>
      </c>
      <c r="T2416" s="10">
        <f t="shared" si="410"/>
        <v>0</v>
      </c>
      <c r="U2416" s="10"/>
    </row>
    <row r="2417" spans="1:21">
      <c r="A2417" s="6"/>
      <c r="B2417" s="11" t="s">
        <v>65</v>
      </c>
      <c r="C2417" s="7" t="s">
        <v>26</v>
      </c>
      <c r="D2417" s="7"/>
      <c r="E2417" s="7"/>
      <c r="F2417" s="7">
        <f t="shared" si="411"/>
        <v>0</v>
      </c>
      <c r="G2417" s="8"/>
      <c r="H2417" s="7">
        <f t="shared" si="412"/>
        <v>0</v>
      </c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9">
        <f t="shared" si="409"/>
        <v>0</v>
      </c>
      <c r="T2417" s="10">
        <f t="shared" si="410"/>
        <v>0</v>
      </c>
      <c r="U2417" s="10"/>
    </row>
    <row r="2418" spans="1:21">
      <c r="A2418" s="6"/>
      <c r="B2418" s="11" t="s">
        <v>66</v>
      </c>
      <c r="C2418" s="7" t="s">
        <v>26</v>
      </c>
      <c r="D2418" s="7"/>
      <c r="E2418" s="7"/>
      <c r="F2418" s="7">
        <f t="shared" si="411"/>
        <v>71</v>
      </c>
      <c r="G2418" s="8"/>
      <c r="H2418" s="7">
        <f t="shared" si="412"/>
        <v>0</v>
      </c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9">
        <f t="shared" si="409"/>
        <v>71</v>
      </c>
      <c r="T2418" s="10">
        <f t="shared" si="410"/>
        <v>0</v>
      </c>
      <c r="U2418" s="10"/>
    </row>
    <row r="2419" spans="1:21">
      <c r="A2419" s="6"/>
      <c r="B2419" s="11" t="s">
        <v>67</v>
      </c>
      <c r="C2419" s="7" t="s">
        <v>26</v>
      </c>
      <c r="D2419" s="7"/>
      <c r="E2419" s="7"/>
      <c r="F2419" s="7">
        <f t="shared" si="411"/>
        <v>0</v>
      </c>
      <c r="G2419" s="8"/>
      <c r="H2419" s="7">
        <f t="shared" si="412"/>
        <v>0</v>
      </c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9">
        <f t="shared" si="409"/>
        <v>0</v>
      </c>
      <c r="T2419" s="10">
        <f t="shared" si="410"/>
        <v>0</v>
      </c>
      <c r="U2419" s="10"/>
    </row>
    <row r="2420" spans="1:21">
      <c r="A2420" s="6"/>
      <c r="B2420" s="11" t="s">
        <v>68</v>
      </c>
      <c r="C2420" s="7" t="s">
        <v>26</v>
      </c>
      <c r="D2420" s="7"/>
      <c r="E2420" s="7"/>
      <c r="F2420" s="7">
        <f t="shared" si="411"/>
        <v>7</v>
      </c>
      <c r="G2420" s="8"/>
      <c r="H2420" s="7">
        <f t="shared" si="412"/>
        <v>0</v>
      </c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9">
        <f t="shared" si="409"/>
        <v>7</v>
      </c>
      <c r="T2420" s="10">
        <f t="shared" si="410"/>
        <v>0</v>
      </c>
      <c r="U2420" s="10"/>
    </row>
    <row r="2421" spans="1:21">
      <c r="A2421" s="6"/>
      <c r="B2421" s="11" t="s">
        <v>69</v>
      </c>
      <c r="C2421" s="7" t="s">
        <v>41</v>
      </c>
      <c r="D2421" s="7"/>
      <c r="E2421" s="7"/>
      <c r="F2421" s="7">
        <f t="shared" si="411"/>
        <v>0</v>
      </c>
      <c r="G2421" s="8"/>
      <c r="H2421" s="7">
        <f t="shared" si="412"/>
        <v>0</v>
      </c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9">
        <f t="shared" si="409"/>
        <v>0</v>
      </c>
      <c r="T2421" s="10">
        <f t="shared" si="410"/>
        <v>0</v>
      </c>
      <c r="U2421" s="10"/>
    </row>
    <row r="2422" spans="1:21">
      <c r="A2422" s="6"/>
      <c r="B2422" s="11" t="s">
        <v>70</v>
      </c>
      <c r="C2422" s="7" t="s">
        <v>41</v>
      </c>
      <c r="D2422" s="7"/>
      <c r="E2422" s="7"/>
      <c r="F2422" s="7">
        <f t="shared" si="411"/>
        <v>13</v>
      </c>
      <c r="G2422" s="8"/>
      <c r="H2422" s="7">
        <f t="shared" si="412"/>
        <v>0</v>
      </c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9">
        <f t="shared" si="409"/>
        <v>13</v>
      </c>
      <c r="T2422" s="10">
        <f t="shared" si="410"/>
        <v>0</v>
      </c>
      <c r="U2422" s="10"/>
    </row>
    <row r="2423" spans="1:21">
      <c r="A2423" s="6"/>
      <c r="B2423" s="11" t="s">
        <v>71</v>
      </c>
      <c r="C2423" s="7" t="s">
        <v>61</v>
      </c>
      <c r="D2423" s="7"/>
      <c r="E2423" s="7"/>
      <c r="F2423" s="7">
        <f t="shared" si="411"/>
        <v>0</v>
      </c>
      <c r="G2423" s="8"/>
      <c r="H2423" s="7">
        <f t="shared" si="412"/>
        <v>0</v>
      </c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9">
        <f t="shared" si="409"/>
        <v>0</v>
      </c>
      <c r="T2423" s="10">
        <f t="shared" si="410"/>
        <v>0</v>
      </c>
      <c r="U2423" s="10"/>
    </row>
    <row r="2424" spans="1:21">
      <c r="A2424" s="6"/>
      <c r="B2424" s="11" t="s">
        <v>72</v>
      </c>
      <c r="C2424" s="7" t="s">
        <v>61</v>
      </c>
      <c r="D2424" s="7"/>
      <c r="E2424" s="7"/>
      <c r="F2424" s="7">
        <f t="shared" si="411"/>
        <v>8</v>
      </c>
      <c r="G2424" s="8"/>
      <c r="H2424" s="7">
        <f t="shared" si="412"/>
        <v>0</v>
      </c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9">
        <f t="shared" si="409"/>
        <v>8</v>
      </c>
      <c r="T2424" s="10">
        <f t="shared" si="410"/>
        <v>0</v>
      </c>
      <c r="U2424" s="10"/>
    </row>
    <row r="2425" spans="1:21">
      <c r="A2425" s="6"/>
      <c r="B2425" s="11" t="s">
        <v>73</v>
      </c>
      <c r="C2425" s="7" t="s">
        <v>26</v>
      </c>
      <c r="D2425" s="7"/>
      <c r="E2425" s="7"/>
      <c r="F2425" s="7">
        <f t="shared" si="411"/>
        <v>0</v>
      </c>
      <c r="G2425" s="8"/>
      <c r="H2425" s="7">
        <f t="shared" si="412"/>
        <v>0</v>
      </c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9">
        <f t="shared" si="409"/>
        <v>0</v>
      </c>
      <c r="T2425" s="10">
        <f t="shared" si="410"/>
        <v>0</v>
      </c>
      <c r="U2425" s="10"/>
    </row>
    <row r="2426" spans="1:21">
      <c r="A2426" s="6"/>
      <c r="B2426" s="11" t="s">
        <v>74</v>
      </c>
      <c r="C2426" s="7" t="s">
        <v>26</v>
      </c>
      <c r="D2426" s="7"/>
      <c r="E2426" s="7"/>
      <c r="F2426" s="7">
        <f t="shared" si="411"/>
        <v>22</v>
      </c>
      <c r="G2426" s="8"/>
      <c r="H2426" s="7">
        <f t="shared" si="412"/>
        <v>0</v>
      </c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9">
        <f t="shared" si="409"/>
        <v>22</v>
      </c>
      <c r="T2426" s="10">
        <f t="shared" si="410"/>
        <v>0</v>
      </c>
      <c r="U2426" s="10"/>
    </row>
    <row r="2427" spans="1:21">
      <c r="A2427" s="6"/>
      <c r="B2427" s="11" t="s">
        <v>75</v>
      </c>
      <c r="C2427" s="7" t="s">
        <v>26</v>
      </c>
      <c r="D2427" s="7"/>
      <c r="E2427" s="7"/>
      <c r="F2427" s="7">
        <f t="shared" si="411"/>
        <v>0</v>
      </c>
      <c r="G2427" s="8"/>
      <c r="H2427" s="7">
        <f t="shared" si="412"/>
        <v>0</v>
      </c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9">
        <f t="shared" si="409"/>
        <v>0</v>
      </c>
      <c r="T2427" s="10">
        <f t="shared" si="410"/>
        <v>0</v>
      </c>
      <c r="U2427" s="10"/>
    </row>
    <row r="2428" spans="1:21">
      <c r="A2428" s="6"/>
      <c r="B2428" s="11" t="s">
        <v>76</v>
      </c>
      <c r="C2428" s="7" t="s">
        <v>26</v>
      </c>
      <c r="D2428" s="7"/>
      <c r="E2428" s="7"/>
      <c r="F2428" s="7">
        <f t="shared" si="411"/>
        <v>20</v>
      </c>
      <c r="G2428" s="8"/>
      <c r="H2428" s="7">
        <f t="shared" si="412"/>
        <v>0</v>
      </c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9">
        <f t="shared" si="409"/>
        <v>20</v>
      </c>
      <c r="T2428" s="10">
        <f t="shared" si="410"/>
        <v>0</v>
      </c>
      <c r="U2428" s="10"/>
    </row>
    <row r="2429" spans="1:21">
      <c r="A2429" s="6"/>
      <c r="B2429" s="11" t="s">
        <v>77</v>
      </c>
      <c r="C2429" s="7" t="s">
        <v>61</v>
      </c>
      <c r="D2429" s="7"/>
      <c r="E2429" s="7"/>
      <c r="F2429" s="7">
        <f t="shared" si="411"/>
        <v>0</v>
      </c>
      <c r="G2429" s="8"/>
      <c r="H2429" s="7">
        <f t="shared" si="412"/>
        <v>0</v>
      </c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9">
        <f t="shared" si="409"/>
        <v>0</v>
      </c>
      <c r="T2429" s="10">
        <f t="shared" si="410"/>
        <v>0</v>
      </c>
      <c r="U2429" s="10"/>
    </row>
    <row r="2430" spans="1:21">
      <c r="A2430" s="6"/>
      <c r="B2430" s="11" t="s">
        <v>78</v>
      </c>
      <c r="C2430" s="7" t="s">
        <v>61</v>
      </c>
      <c r="D2430" s="7"/>
      <c r="E2430" s="7"/>
      <c r="F2430" s="7">
        <f t="shared" si="411"/>
        <v>69</v>
      </c>
      <c r="G2430" s="8"/>
      <c r="H2430" s="7">
        <f t="shared" si="412"/>
        <v>0</v>
      </c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9">
        <f t="shared" si="409"/>
        <v>69</v>
      </c>
      <c r="T2430" s="10">
        <f t="shared" si="410"/>
        <v>0</v>
      </c>
      <c r="U2430" s="10"/>
    </row>
    <row r="2431" spans="1:21">
      <c r="A2431" s="6"/>
      <c r="B2431" s="11" t="s">
        <v>105</v>
      </c>
      <c r="C2431" s="7" t="s">
        <v>26</v>
      </c>
      <c r="D2431" s="7"/>
      <c r="E2431" s="7"/>
      <c r="F2431" s="7">
        <f t="shared" si="411"/>
        <v>2409</v>
      </c>
      <c r="G2431" s="8"/>
      <c r="H2431" s="7">
        <f t="shared" si="412"/>
        <v>0</v>
      </c>
      <c r="I2431" s="7"/>
      <c r="J2431" s="7">
        <v>120</v>
      </c>
      <c r="K2431" s="7"/>
      <c r="L2431" s="7"/>
      <c r="M2431" s="7"/>
      <c r="N2431" s="7"/>
      <c r="O2431" s="7"/>
      <c r="P2431" s="7"/>
      <c r="Q2431" s="7"/>
      <c r="R2431" s="7"/>
      <c r="S2431" s="9">
        <f t="shared" si="409"/>
        <v>2289</v>
      </c>
      <c r="T2431" s="10">
        <f t="shared" si="410"/>
        <v>0</v>
      </c>
      <c r="U2431" s="10"/>
    </row>
    <row r="2432" spans="1:21">
      <c r="A2432" s="6"/>
      <c r="B2432" s="11" t="s">
        <v>80</v>
      </c>
      <c r="C2432" s="7" t="s">
        <v>26</v>
      </c>
      <c r="D2432" s="7"/>
      <c r="E2432" s="7"/>
      <c r="F2432" s="7">
        <f t="shared" si="411"/>
        <v>511</v>
      </c>
      <c r="G2432" s="8"/>
      <c r="H2432" s="7">
        <f t="shared" si="412"/>
        <v>0</v>
      </c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9">
        <f t="shared" si="409"/>
        <v>511</v>
      </c>
      <c r="T2432" s="10">
        <f t="shared" si="410"/>
        <v>0</v>
      </c>
      <c r="U2432" s="10"/>
    </row>
    <row r="2433" spans="1:21">
      <c r="A2433" s="6"/>
      <c r="B2433" s="11" t="s">
        <v>81</v>
      </c>
      <c r="C2433" s="7" t="s">
        <v>26</v>
      </c>
      <c r="D2433" s="7"/>
      <c r="E2433" s="7"/>
      <c r="F2433" s="7">
        <f t="shared" si="411"/>
        <v>0</v>
      </c>
      <c r="G2433" s="8"/>
      <c r="H2433" s="7">
        <f t="shared" si="412"/>
        <v>0</v>
      </c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9">
        <f t="shared" si="409"/>
        <v>0</v>
      </c>
      <c r="T2433" s="10">
        <f t="shared" si="410"/>
        <v>0</v>
      </c>
      <c r="U2433" s="10"/>
    </row>
    <row r="2434" spans="1:21">
      <c r="A2434" s="6"/>
      <c r="B2434" s="11" t="s">
        <v>82</v>
      </c>
      <c r="C2434" s="7" t="s">
        <v>26</v>
      </c>
      <c r="D2434" s="7"/>
      <c r="E2434" s="7"/>
      <c r="F2434" s="7">
        <f t="shared" si="411"/>
        <v>14</v>
      </c>
      <c r="G2434" s="8"/>
      <c r="H2434" s="7">
        <f t="shared" si="412"/>
        <v>0</v>
      </c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9">
        <f t="shared" si="409"/>
        <v>14</v>
      </c>
      <c r="T2434" s="10">
        <f t="shared" si="410"/>
        <v>0</v>
      </c>
      <c r="U2434" s="10"/>
    </row>
    <row r="2435" spans="1:21">
      <c r="A2435" s="6"/>
      <c r="B2435" s="11" t="s">
        <v>83</v>
      </c>
      <c r="C2435" s="7" t="s">
        <v>26</v>
      </c>
      <c r="D2435" s="7"/>
      <c r="E2435" s="7"/>
      <c r="F2435" s="7">
        <f t="shared" si="411"/>
        <v>0</v>
      </c>
      <c r="G2435" s="8"/>
      <c r="H2435" s="7">
        <f t="shared" si="412"/>
        <v>0</v>
      </c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9">
        <f t="shared" si="409"/>
        <v>0</v>
      </c>
      <c r="T2435" s="10">
        <f t="shared" si="410"/>
        <v>0</v>
      </c>
      <c r="U2435" s="10"/>
    </row>
    <row r="2436" spans="1:21">
      <c r="A2436" s="6"/>
      <c r="B2436" s="11" t="s">
        <v>84</v>
      </c>
      <c r="C2436" s="7" t="s">
        <v>26</v>
      </c>
      <c r="D2436" s="7"/>
      <c r="E2436" s="7"/>
      <c r="F2436" s="7">
        <f t="shared" si="411"/>
        <v>28</v>
      </c>
      <c r="G2436" s="8"/>
      <c r="H2436" s="7">
        <f t="shared" si="412"/>
        <v>0</v>
      </c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9">
        <f t="shared" si="409"/>
        <v>28</v>
      </c>
      <c r="T2436" s="10">
        <f t="shared" si="410"/>
        <v>0</v>
      </c>
      <c r="U2436" s="10"/>
    </row>
    <row r="2437" spans="1:21">
      <c r="A2437" s="6"/>
      <c r="B2437" s="11" t="s">
        <v>85</v>
      </c>
      <c r="C2437" s="7" t="s">
        <v>61</v>
      </c>
      <c r="D2437" s="7"/>
      <c r="E2437" s="7"/>
      <c r="F2437" s="7">
        <f t="shared" si="411"/>
        <v>0</v>
      </c>
      <c r="G2437" s="8"/>
      <c r="H2437" s="7">
        <f t="shared" si="412"/>
        <v>0</v>
      </c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9">
        <f t="shared" si="409"/>
        <v>0</v>
      </c>
      <c r="T2437" s="10">
        <f t="shared" si="410"/>
        <v>0</v>
      </c>
      <c r="U2437" s="10"/>
    </row>
    <row r="2438" spans="1:21">
      <c r="A2438" s="6"/>
      <c r="B2438" s="11" t="s">
        <v>86</v>
      </c>
      <c r="C2438" s="7" t="s">
        <v>61</v>
      </c>
      <c r="D2438" s="7"/>
      <c r="E2438" s="7"/>
      <c r="F2438" s="7">
        <f t="shared" si="411"/>
        <v>10</v>
      </c>
      <c r="G2438" s="8"/>
      <c r="H2438" s="7">
        <f t="shared" si="412"/>
        <v>0</v>
      </c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9">
        <f t="shared" si="409"/>
        <v>10</v>
      </c>
      <c r="T2438" s="10">
        <f t="shared" si="410"/>
        <v>0</v>
      </c>
      <c r="U2438" s="10"/>
    </row>
    <row r="2439" spans="1:21">
      <c r="A2439" s="6"/>
      <c r="B2439" s="11" t="s">
        <v>87</v>
      </c>
      <c r="C2439" s="7" t="s">
        <v>26</v>
      </c>
      <c r="D2439" s="7"/>
      <c r="E2439" s="7"/>
      <c r="F2439" s="7">
        <f t="shared" si="411"/>
        <v>0</v>
      </c>
      <c r="G2439" s="8"/>
      <c r="H2439" s="7">
        <f t="shared" si="412"/>
        <v>0</v>
      </c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9">
        <f t="shared" si="409"/>
        <v>0</v>
      </c>
      <c r="T2439" s="10">
        <f t="shared" si="410"/>
        <v>0</v>
      </c>
      <c r="U2439" s="10"/>
    </row>
    <row r="2440" spans="1:21">
      <c r="A2440" s="6"/>
      <c r="B2440" s="11" t="s">
        <v>88</v>
      </c>
      <c r="C2440" s="7"/>
      <c r="D2440" s="7"/>
      <c r="E2440" s="7"/>
      <c r="F2440" s="7">
        <f t="shared" si="411"/>
        <v>7</v>
      </c>
      <c r="G2440" s="8"/>
      <c r="H2440" s="7">
        <f t="shared" si="412"/>
        <v>0</v>
      </c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9">
        <f t="shared" si="409"/>
        <v>7</v>
      </c>
      <c r="T2440" s="10">
        <f t="shared" si="410"/>
        <v>0</v>
      </c>
      <c r="U2440" s="10"/>
    </row>
    <row r="2441" spans="1:21">
      <c r="A2441" s="6"/>
      <c r="B2441" s="11" t="s">
        <v>89</v>
      </c>
      <c r="C2441" s="7" t="s">
        <v>26</v>
      </c>
      <c r="D2441" s="7"/>
      <c r="E2441" s="7"/>
      <c r="F2441" s="7">
        <f t="shared" si="411"/>
        <v>858</v>
      </c>
      <c r="G2441" s="8"/>
      <c r="H2441" s="7">
        <f t="shared" si="412"/>
        <v>0</v>
      </c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9">
        <f t="shared" si="409"/>
        <v>858</v>
      </c>
      <c r="T2441" s="10">
        <f t="shared" si="410"/>
        <v>0</v>
      </c>
      <c r="U2441" s="10"/>
    </row>
    <row r="2442" spans="1:21">
      <c r="A2442" s="6"/>
      <c r="B2442" s="11" t="s">
        <v>90</v>
      </c>
      <c r="C2442" s="7" t="s">
        <v>26</v>
      </c>
      <c r="D2442" s="7"/>
      <c r="E2442" s="7"/>
      <c r="F2442" s="7">
        <f t="shared" si="411"/>
        <v>0</v>
      </c>
      <c r="G2442" s="8"/>
      <c r="H2442" s="7">
        <f t="shared" si="412"/>
        <v>0</v>
      </c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9">
        <f t="shared" si="409"/>
        <v>0</v>
      </c>
      <c r="T2442" s="10">
        <f t="shared" si="410"/>
        <v>0</v>
      </c>
      <c r="U2442" s="10"/>
    </row>
    <row r="2443" spans="1:21">
      <c r="A2443" s="6"/>
      <c r="B2443" s="11" t="s">
        <v>91</v>
      </c>
      <c r="C2443" s="7" t="s">
        <v>26</v>
      </c>
      <c r="D2443" s="7"/>
      <c r="E2443" s="7"/>
      <c r="F2443" s="7">
        <f t="shared" si="411"/>
        <v>138</v>
      </c>
      <c r="G2443" s="8"/>
      <c r="H2443" s="7">
        <f t="shared" si="412"/>
        <v>0</v>
      </c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9">
        <f t="shared" si="409"/>
        <v>138</v>
      </c>
      <c r="T2443" s="10">
        <f t="shared" si="410"/>
        <v>0</v>
      </c>
      <c r="U2443" s="10"/>
    </row>
    <row r="2444" spans="1:21">
      <c r="A2444" s="6"/>
      <c r="B2444" s="12" t="s">
        <v>92</v>
      </c>
      <c r="C2444" s="13" t="s">
        <v>26</v>
      </c>
      <c r="D2444" s="7"/>
      <c r="E2444" s="7"/>
      <c r="F2444" s="7">
        <f t="shared" si="411"/>
        <v>1316</v>
      </c>
      <c r="G2444" s="8"/>
      <c r="H2444" s="7">
        <f t="shared" si="412"/>
        <v>0</v>
      </c>
      <c r="I2444" s="7"/>
      <c r="J2444" s="7">
        <v>180</v>
      </c>
      <c r="K2444" s="7">
        <v>30</v>
      </c>
      <c r="L2444" s="7"/>
      <c r="M2444" s="7"/>
      <c r="N2444" s="7"/>
      <c r="O2444" s="7"/>
      <c r="P2444" s="7"/>
      <c r="Q2444" s="7"/>
      <c r="R2444" s="7"/>
      <c r="S2444" s="9">
        <f t="shared" si="409"/>
        <v>1106</v>
      </c>
      <c r="T2444" s="10">
        <f t="shared" si="410"/>
        <v>0</v>
      </c>
      <c r="U2444" s="10"/>
    </row>
    <row r="2445" spans="1:21">
      <c r="A2445" s="6"/>
      <c r="B2445" s="12" t="s">
        <v>93</v>
      </c>
      <c r="C2445" s="13" t="s">
        <v>26</v>
      </c>
      <c r="D2445" s="7"/>
      <c r="E2445" s="7"/>
      <c r="F2445" s="7">
        <f t="shared" si="411"/>
        <v>1789</v>
      </c>
      <c r="G2445" s="8"/>
      <c r="H2445" s="7">
        <f t="shared" si="412"/>
        <v>0</v>
      </c>
      <c r="I2445" s="7"/>
      <c r="J2445" s="7"/>
      <c r="K2445" s="7"/>
      <c r="L2445" s="7"/>
      <c r="M2445" s="7">
        <v>148</v>
      </c>
      <c r="N2445" s="7"/>
      <c r="O2445" s="7"/>
      <c r="P2445" s="7"/>
      <c r="Q2445" s="7"/>
      <c r="R2445" s="7"/>
      <c r="S2445" s="9">
        <f t="shared" si="409"/>
        <v>1937</v>
      </c>
      <c r="T2445" s="10">
        <f t="shared" si="410"/>
        <v>0</v>
      </c>
      <c r="U2445" s="10"/>
    </row>
    <row r="2446" spans="1:21">
      <c r="A2446" s="6"/>
      <c r="B2446" s="11" t="s">
        <v>94</v>
      </c>
      <c r="C2446" s="7" t="s">
        <v>41</v>
      </c>
      <c r="D2446" s="7"/>
      <c r="E2446" s="7"/>
      <c r="F2446" s="7">
        <f t="shared" si="411"/>
        <v>0</v>
      </c>
      <c r="G2446" s="8"/>
      <c r="H2446" s="7">
        <f t="shared" si="412"/>
        <v>0</v>
      </c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9">
        <f t="shared" si="409"/>
        <v>0</v>
      </c>
      <c r="T2446" s="10">
        <f t="shared" si="410"/>
        <v>0</v>
      </c>
      <c r="U2446" s="10"/>
    </row>
    <row r="2447" spans="1:21">
      <c r="A2447" s="6"/>
      <c r="B2447" s="11" t="s">
        <v>95</v>
      </c>
      <c r="C2447" s="7" t="s">
        <v>41</v>
      </c>
      <c r="D2447" s="7"/>
      <c r="E2447" s="7"/>
      <c r="F2447" s="7">
        <f t="shared" si="411"/>
        <v>39</v>
      </c>
      <c r="G2447" s="8"/>
      <c r="H2447" s="7">
        <f t="shared" si="412"/>
        <v>0</v>
      </c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9">
        <f t="shared" si="409"/>
        <v>39</v>
      </c>
      <c r="T2447" s="10">
        <f t="shared" si="410"/>
        <v>0</v>
      </c>
      <c r="U2447" s="10"/>
    </row>
    <row r="2448" spans="1:21">
      <c r="A2448" s="6"/>
      <c r="B2448" s="11" t="s">
        <v>96</v>
      </c>
      <c r="C2448" s="7" t="s">
        <v>41</v>
      </c>
      <c r="D2448" s="7"/>
      <c r="E2448" s="7"/>
      <c r="F2448" s="7">
        <f t="shared" si="411"/>
        <v>0</v>
      </c>
      <c r="G2448" s="8"/>
      <c r="H2448" s="7">
        <f t="shared" si="412"/>
        <v>0</v>
      </c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9">
        <f t="shared" si="409"/>
        <v>0</v>
      </c>
      <c r="T2448" s="10">
        <f t="shared" si="410"/>
        <v>0</v>
      </c>
      <c r="U2448" s="10"/>
    </row>
    <row r="2449" spans="1:21">
      <c r="A2449" s="6"/>
      <c r="B2449" s="11" t="s">
        <v>97</v>
      </c>
      <c r="C2449" s="7" t="s">
        <v>41</v>
      </c>
      <c r="D2449" s="7"/>
      <c r="E2449" s="7"/>
      <c r="F2449" s="7">
        <f t="shared" si="411"/>
        <v>0</v>
      </c>
      <c r="G2449" s="8"/>
      <c r="H2449" s="7">
        <f t="shared" si="412"/>
        <v>0</v>
      </c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9">
        <f t="shared" si="409"/>
        <v>0</v>
      </c>
      <c r="T2449" s="10">
        <f t="shared" si="410"/>
        <v>0</v>
      </c>
      <c r="U2449" s="10"/>
    </row>
    <row r="2450" spans="1:21">
      <c r="A2450" s="6"/>
      <c r="B2450" s="11" t="s">
        <v>98</v>
      </c>
      <c r="C2450" s="7" t="s">
        <v>26</v>
      </c>
      <c r="D2450" s="7"/>
      <c r="E2450" s="7"/>
      <c r="F2450" s="7">
        <f t="shared" si="411"/>
        <v>1079</v>
      </c>
      <c r="G2450" s="8"/>
      <c r="H2450" s="7">
        <f t="shared" si="412"/>
        <v>0</v>
      </c>
      <c r="I2450" s="7"/>
      <c r="J2450" s="7">
        <v>60</v>
      </c>
      <c r="K2450" s="7">
        <v>20</v>
      </c>
      <c r="L2450" s="7"/>
      <c r="M2450" s="7"/>
      <c r="N2450" s="7"/>
      <c r="O2450" s="7"/>
      <c r="P2450" s="7"/>
      <c r="Q2450" s="7"/>
      <c r="R2450" s="7"/>
      <c r="S2450" s="9">
        <f t="shared" si="409"/>
        <v>999</v>
      </c>
      <c r="T2450" s="10">
        <f t="shared" si="410"/>
        <v>0</v>
      </c>
      <c r="U2450" s="10"/>
    </row>
    <row r="2451" spans="1:21">
      <c r="A2451" s="6"/>
      <c r="B2451" s="11" t="s">
        <v>99</v>
      </c>
      <c r="C2451" s="7" t="s">
        <v>26</v>
      </c>
      <c r="D2451" s="7"/>
      <c r="E2451" s="7"/>
      <c r="F2451" s="7">
        <f t="shared" si="411"/>
        <v>164</v>
      </c>
      <c r="G2451" s="8"/>
      <c r="H2451" s="7">
        <f t="shared" si="412"/>
        <v>0</v>
      </c>
      <c r="I2451" s="7"/>
      <c r="J2451" s="7"/>
      <c r="K2451" s="7"/>
      <c r="L2451" s="7"/>
      <c r="M2451" s="7">
        <v>103</v>
      </c>
      <c r="N2451" s="7"/>
      <c r="O2451" s="7"/>
      <c r="P2451" s="7"/>
      <c r="Q2451" s="7"/>
      <c r="R2451" s="7"/>
      <c r="S2451" s="9">
        <f t="shared" si="409"/>
        <v>267</v>
      </c>
      <c r="T2451" s="10">
        <f t="shared" si="410"/>
        <v>0</v>
      </c>
      <c r="U2451" s="10"/>
    </row>
    <row r="2452" spans="1:21">
      <c r="A2452" s="6"/>
      <c r="B2452" s="11" t="s">
        <v>100</v>
      </c>
      <c r="C2452" s="7" t="s">
        <v>26</v>
      </c>
      <c r="D2452" s="7"/>
      <c r="E2452" s="7"/>
      <c r="F2452" s="7">
        <f t="shared" si="411"/>
        <v>600</v>
      </c>
      <c r="G2452" s="8"/>
      <c r="H2452" s="7">
        <f t="shared" si="412"/>
        <v>0</v>
      </c>
      <c r="I2452" s="7"/>
      <c r="J2452" s="7">
        <v>90</v>
      </c>
      <c r="K2452" s="7"/>
      <c r="L2452" s="7"/>
      <c r="M2452" s="7"/>
      <c r="N2452" s="7"/>
      <c r="O2452" s="7"/>
      <c r="P2452" s="7"/>
      <c r="Q2452" s="7"/>
      <c r="R2452" s="7"/>
      <c r="S2452" s="9">
        <f t="shared" si="409"/>
        <v>510</v>
      </c>
      <c r="T2452" s="10">
        <f t="shared" si="410"/>
        <v>0</v>
      </c>
      <c r="U2452" s="10"/>
    </row>
    <row r="2453" spans="1:21">
      <c r="A2453" s="6"/>
      <c r="B2453" s="11" t="s">
        <v>101</v>
      </c>
      <c r="C2453" s="7" t="s">
        <v>26</v>
      </c>
      <c r="D2453" s="7"/>
      <c r="E2453" s="7"/>
      <c r="F2453" s="7">
        <f t="shared" si="411"/>
        <v>211</v>
      </c>
      <c r="G2453" s="8"/>
      <c r="H2453" s="7">
        <f t="shared" si="412"/>
        <v>0</v>
      </c>
      <c r="I2453" s="7"/>
      <c r="J2453" s="7"/>
      <c r="K2453" s="7"/>
      <c r="L2453" s="7"/>
      <c r="M2453" s="7">
        <v>20</v>
      </c>
      <c r="N2453" s="7"/>
      <c r="O2453" s="7"/>
      <c r="P2453" s="7"/>
      <c r="Q2453" s="7"/>
      <c r="R2453" s="7"/>
      <c r="S2453" s="9">
        <f t="shared" si="409"/>
        <v>231</v>
      </c>
      <c r="T2453" s="10">
        <f t="shared" si="410"/>
        <v>0</v>
      </c>
      <c r="U2453" s="10"/>
    </row>
    <row r="2454" spans="1:21">
      <c r="A2454" s="6"/>
      <c r="B2454" s="11" t="s">
        <v>102</v>
      </c>
      <c r="C2454" s="7" t="s">
        <v>26</v>
      </c>
      <c r="D2454" s="7"/>
      <c r="E2454" s="7"/>
      <c r="F2454" s="7">
        <f t="shared" si="411"/>
        <v>1009</v>
      </c>
      <c r="G2454" s="8"/>
      <c r="H2454" s="7">
        <f t="shared" si="412"/>
        <v>0</v>
      </c>
      <c r="I2454" s="7"/>
      <c r="J2454" s="7">
        <v>60</v>
      </c>
      <c r="K2454" s="7"/>
      <c r="L2454" s="7"/>
      <c r="M2454" s="7"/>
      <c r="N2454" s="7"/>
      <c r="O2454" s="7"/>
      <c r="P2454" s="7"/>
      <c r="Q2454" s="7"/>
      <c r="R2454" s="7"/>
      <c r="S2454" s="9">
        <f t="shared" si="409"/>
        <v>949</v>
      </c>
      <c r="T2454" s="10">
        <f t="shared" si="410"/>
        <v>0</v>
      </c>
      <c r="U2454" s="10"/>
    </row>
    <row r="2455" spans="1:21">
      <c r="A2455" s="6"/>
      <c r="B2455" s="11" t="s">
        <v>103</v>
      </c>
      <c r="C2455" s="7" t="s">
        <v>26</v>
      </c>
      <c r="D2455" s="7"/>
      <c r="E2455" s="7"/>
      <c r="F2455" s="7">
        <f t="shared" si="411"/>
        <v>620</v>
      </c>
      <c r="G2455" s="8"/>
      <c r="H2455" s="7">
        <f t="shared" si="412"/>
        <v>0</v>
      </c>
      <c r="I2455" s="7"/>
      <c r="J2455" s="7"/>
      <c r="K2455" s="7"/>
      <c r="L2455" s="7"/>
      <c r="M2455" s="7">
        <v>12</v>
      </c>
      <c r="N2455" s="7"/>
      <c r="O2455" s="7"/>
      <c r="P2455" s="7"/>
      <c r="Q2455" s="7"/>
      <c r="R2455" s="7"/>
      <c r="S2455" s="9">
        <f t="shared" si="409"/>
        <v>632</v>
      </c>
      <c r="T2455" s="10">
        <f t="shared" si="410"/>
        <v>0</v>
      </c>
      <c r="U2455" s="10"/>
    </row>
    <row r="2456" spans="1:21">
      <c r="A2456" s="6"/>
      <c r="B2456" s="11" t="s">
        <v>112</v>
      </c>
      <c r="C2456" s="7" t="s">
        <v>113</v>
      </c>
      <c r="D2456" s="7"/>
      <c r="E2456" s="7"/>
      <c r="F2456" s="7">
        <f t="shared" si="411"/>
        <v>900</v>
      </c>
      <c r="G2456" s="8"/>
      <c r="H2456" s="7">
        <f t="shared" si="412"/>
        <v>0</v>
      </c>
      <c r="I2456" s="7"/>
      <c r="J2456" s="7">
        <v>60</v>
      </c>
      <c r="K2456" s="7"/>
      <c r="L2456" s="7"/>
      <c r="M2456" s="7"/>
      <c r="N2456" s="7"/>
      <c r="O2456" s="7"/>
      <c r="P2456" s="7"/>
      <c r="Q2456" s="7"/>
      <c r="R2456" s="7"/>
      <c r="S2456" s="9">
        <f t="shared" ref="S2456:S2476" si="413">F2456+G2456-J2456-K2456-L2456+M2456+O2456-P2456-R2456</f>
        <v>840</v>
      </c>
      <c r="T2456" s="10">
        <f t="shared" ref="T2456:T2476" si="414">H2456+I2456+N2456+R2456-Q2456</f>
        <v>0</v>
      </c>
      <c r="U2456" s="10"/>
    </row>
    <row r="2457" spans="1:21">
      <c r="A2457" s="6"/>
      <c r="B2457" s="11"/>
      <c r="C2457" s="7"/>
      <c r="D2457" s="7"/>
      <c r="E2457" s="7"/>
      <c r="F2457" s="7">
        <f t="shared" si="411"/>
        <v>0</v>
      </c>
      <c r="G2457" s="8"/>
      <c r="H2457" s="7">
        <f t="shared" si="412"/>
        <v>0</v>
      </c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9">
        <f t="shared" si="413"/>
        <v>0</v>
      </c>
      <c r="T2457" s="10">
        <f t="shared" si="414"/>
        <v>0</v>
      </c>
      <c r="U2457" s="10"/>
    </row>
    <row r="2458" spans="1:21">
      <c r="A2458" s="6"/>
      <c r="B2458" s="11"/>
      <c r="C2458" s="7"/>
      <c r="D2458" s="7"/>
      <c r="E2458" s="7"/>
      <c r="F2458" s="7">
        <f t="shared" si="411"/>
        <v>0</v>
      </c>
      <c r="G2458" s="8"/>
      <c r="H2458" s="7">
        <f t="shared" si="412"/>
        <v>0</v>
      </c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9">
        <f t="shared" si="413"/>
        <v>0</v>
      </c>
      <c r="T2458" s="10">
        <f t="shared" si="414"/>
        <v>0</v>
      </c>
      <c r="U2458" s="10"/>
    </row>
    <row r="2459" spans="1:21">
      <c r="A2459" s="6"/>
      <c r="B2459" s="11"/>
      <c r="C2459" s="7"/>
      <c r="D2459" s="7"/>
      <c r="E2459" s="7"/>
      <c r="F2459" s="7">
        <f t="shared" si="411"/>
        <v>0</v>
      </c>
      <c r="G2459" s="8"/>
      <c r="H2459" s="7">
        <f t="shared" si="412"/>
        <v>0</v>
      </c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9">
        <f t="shared" si="413"/>
        <v>0</v>
      </c>
      <c r="T2459" s="10">
        <f t="shared" si="414"/>
        <v>0</v>
      </c>
      <c r="U2459" s="10"/>
    </row>
    <row r="2460" spans="1:21">
      <c r="A2460" s="6"/>
      <c r="B2460" s="11"/>
      <c r="C2460" s="7"/>
      <c r="D2460" s="7"/>
      <c r="E2460" s="7"/>
      <c r="F2460" s="7">
        <f t="shared" si="411"/>
        <v>0</v>
      </c>
      <c r="G2460" s="8"/>
      <c r="H2460" s="7">
        <f t="shared" si="412"/>
        <v>0</v>
      </c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9">
        <f t="shared" si="413"/>
        <v>0</v>
      </c>
      <c r="T2460" s="10">
        <f t="shared" si="414"/>
        <v>0</v>
      </c>
      <c r="U2460" s="10"/>
    </row>
    <row r="2461" spans="1:21">
      <c r="A2461" s="6"/>
      <c r="B2461" s="11"/>
      <c r="C2461" s="7"/>
      <c r="D2461" s="7"/>
      <c r="E2461" s="7"/>
      <c r="F2461" s="7">
        <f t="shared" si="411"/>
        <v>0</v>
      </c>
      <c r="G2461" s="8"/>
      <c r="H2461" s="7">
        <f t="shared" si="412"/>
        <v>0</v>
      </c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9">
        <f t="shared" si="413"/>
        <v>0</v>
      </c>
      <c r="T2461" s="10">
        <f t="shared" si="414"/>
        <v>0</v>
      </c>
      <c r="U2461" s="10"/>
    </row>
    <row r="2462" spans="1:21">
      <c r="A2462" s="6"/>
      <c r="B2462" s="11"/>
      <c r="C2462" s="7"/>
      <c r="D2462" s="7"/>
      <c r="E2462" s="7"/>
      <c r="F2462" s="7">
        <f t="shared" si="411"/>
        <v>0</v>
      </c>
      <c r="G2462" s="8"/>
      <c r="H2462" s="7">
        <f t="shared" si="412"/>
        <v>0</v>
      </c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9">
        <f t="shared" si="413"/>
        <v>0</v>
      </c>
      <c r="T2462" s="10">
        <f t="shared" si="414"/>
        <v>0</v>
      </c>
      <c r="U2462" s="10"/>
    </row>
    <row r="2463" spans="1:21">
      <c r="A2463" s="6"/>
      <c r="B2463" s="11"/>
      <c r="C2463" s="7"/>
      <c r="D2463" s="7"/>
      <c r="E2463" s="7"/>
      <c r="F2463" s="7">
        <f t="shared" si="411"/>
        <v>0</v>
      </c>
      <c r="G2463" s="8"/>
      <c r="H2463" s="7">
        <f t="shared" si="412"/>
        <v>0</v>
      </c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9">
        <f t="shared" si="413"/>
        <v>0</v>
      </c>
      <c r="T2463" s="10">
        <f t="shared" si="414"/>
        <v>0</v>
      </c>
      <c r="U2463" s="10"/>
    </row>
    <row r="2464" spans="1:21">
      <c r="A2464" s="6"/>
      <c r="B2464" s="11"/>
      <c r="C2464" s="7"/>
      <c r="D2464" s="7"/>
      <c r="E2464" s="7"/>
      <c r="F2464" s="7">
        <f t="shared" si="411"/>
        <v>0</v>
      </c>
      <c r="G2464" s="8"/>
      <c r="H2464" s="7">
        <f t="shared" si="412"/>
        <v>0</v>
      </c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9">
        <f t="shared" si="413"/>
        <v>0</v>
      </c>
      <c r="T2464" s="10">
        <f t="shared" si="414"/>
        <v>0</v>
      </c>
      <c r="U2464" s="10"/>
    </row>
    <row r="2465" spans="1:25">
      <c r="A2465" s="6"/>
      <c r="B2465" s="11"/>
      <c r="C2465" s="7"/>
      <c r="D2465" s="7"/>
      <c r="E2465" s="7"/>
      <c r="F2465" s="7">
        <f t="shared" si="411"/>
        <v>0</v>
      </c>
      <c r="G2465" s="8"/>
      <c r="H2465" s="7">
        <f t="shared" si="412"/>
        <v>0</v>
      </c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9">
        <f t="shared" si="413"/>
        <v>0</v>
      </c>
      <c r="T2465" s="10">
        <f t="shared" si="414"/>
        <v>0</v>
      </c>
      <c r="U2465" s="10"/>
    </row>
    <row r="2466" spans="1:25">
      <c r="A2466" s="6"/>
      <c r="B2466" s="11"/>
      <c r="C2466" s="7"/>
      <c r="D2466" s="7"/>
      <c r="E2466" s="7"/>
      <c r="F2466" s="7">
        <f t="shared" si="411"/>
        <v>0</v>
      </c>
      <c r="G2466" s="8"/>
      <c r="H2466" s="7">
        <f t="shared" si="412"/>
        <v>0</v>
      </c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9">
        <f t="shared" si="413"/>
        <v>0</v>
      </c>
      <c r="T2466" s="10">
        <f t="shared" si="414"/>
        <v>0</v>
      </c>
      <c r="U2466" s="10"/>
      <c r="V2466">
        <f>X2466*0.1</f>
        <v>0</v>
      </c>
      <c r="W2466">
        <f>E2466*S2466*1.5</f>
        <v>0</v>
      </c>
      <c r="X2466">
        <f>J2466+K2466</f>
        <v>0</v>
      </c>
      <c r="Y2466">
        <f>X2466*0.13</f>
        <v>0</v>
      </c>
    </row>
    <row r="2467" spans="1:25">
      <c r="A2467" s="6">
        <v>46172</v>
      </c>
      <c r="B2467" t="s">
        <v>25</v>
      </c>
      <c r="C2467" s="7" t="s">
        <v>26</v>
      </c>
      <c r="D2467" s="7"/>
      <c r="E2467" s="7"/>
      <c r="F2467" s="7">
        <f t="shared" si="411"/>
        <v>430</v>
      </c>
      <c r="G2467" s="8"/>
      <c r="H2467" s="7">
        <f t="shared" si="412"/>
        <v>0</v>
      </c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9">
        <f t="shared" si="413"/>
        <v>430</v>
      </c>
      <c r="T2467" s="10">
        <f t="shared" si="414"/>
        <v>0</v>
      </c>
      <c r="U2467" s="10"/>
      <c r="V2467">
        <f t="shared" ref="V2467:V2474" si="415">X2467*0.1</f>
        <v>0</v>
      </c>
      <c r="W2467">
        <f t="shared" ref="W2467:W2474" si="416">E2467*S2467*1.5</f>
        <v>0</v>
      </c>
      <c r="X2467">
        <f t="shared" ref="X2467:X2474" si="417">J2467+K2467</f>
        <v>0</v>
      </c>
      <c r="Y2467">
        <f t="shared" ref="Y2467:Y2474" si="418">X2467*0.13</f>
        <v>0</v>
      </c>
    </row>
    <row r="2468" spans="1:25">
      <c r="A2468" s="6"/>
      <c r="B2468" t="s">
        <v>27</v>
      </c>
      <c r="C2468" s="7" t="s">
        <v>26</v>
      </c>
      <c r="D2468" s="7"/>
      <c r="E2468" s="7"/>
      <c r="F2468" s="7">
        <f t="shared" si="411"/>
        <v>927</v>
      </c>
      <c r="G2468" s="8"/>
      <c r="H2468" s="7">
        <f t="shared" si="412"/>
        <v>0</v>
      </c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9">
        <f t="shared" si="413"/>
        <v>927</v>
      </c>
      <c r="T2468" s="10">
        <f t="shared" si="414"/>
        <v>0</v>
      </c>
      <c r="U2468" s="10"/>
      <c r="V2468">
        <f t="shared" si="415"/>
        <v>0</v>
      </c>
      <c r="W2468">
        <f t="shared" si="416"/>
        <v>0</v>
      </c>
      <c r="X2468">
        <f t="shared" si="417"/>
        <v>0</v>
      </c>
      <c r="Y2468">
        <f t="shared" si="418"/>
        <v>0</v>
      </c>
    </row>
    <row r="2469" spans="1:25">
      <c r="A2469" s="6"/>
      <c r="B2469" s="6" t="s">
        <v>28</v>
      </c>
      <c r="C2469" s="7" t="s">
        <v>26</v>
      </c>
      <c r="D2469" s="7"/>
      <c r="E2469" s="7"/>
      <c r="F2469" s="7">
        <f t="shared" si="411"/>
        <v>849</v>
      </c>
      <c r="G2469" s="8"/>
      <c r="H2469" s="7">
        <f t="shared" si="412"/>
        <v>0</v>
      </c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9">
        <f t="shared" si="413"/>
        <v>849</v>
      </c>
      <c r="T2469" s="10">
        <f t="shared" si="414"/>
        <v>0</v>
      </c>
      <c r="U2469" s="10"/>
      <c r="V2469">
        <f t="shared" si="415"/>
        <v>0</v>
      </c>
      <c r="W2469">
        <f t="shared" si="416"/>
        <v>0</v>
      </c>
      <c r="X2469">
        <f t="shared" si="417"/>
        <v>0</v>
      </c>
      <c r="Y2469">
        <f t="shared" si="418"/>
        <v>0</v>
      </c>
    </row>
    <row r="2470" spans="1:25">
      <c r="A2470" s="6"/>
      <c r="B2470" s="6" t="s">
        <v>29</v>
      </c>
      <c r="C2470" s="7" t="s">
        <v>26</v>
      </c>
      <c r="D2470" s="7"/>
      <c r="E2470" s="7"/>
      <c r="F2470" s="7">
        <f t="shared" si="411"/>
        <v>485</v>
      </c>
      <c r="G2470" s="8"/>
      <c r="H2470" s="7">
        <f t="shared" si="412"/>
        <v>0</v>
      </c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9">
        <f t="shared" si="413"/>
        <v>485</v>
      </c>
      <c r="T2470" s="10">
        <f t="shared" si="414"/>
        <v>0</v>
      </c>
      <c r="U2470" s="10"/>
      <c r="V2470">
        <f t="shared" si="415"/>
        <v>0</v>
      </c>
      <c r="W2470">
        <f t="shared" si="416"/>
        <v>0</v>
      </c>
      <c r="X2470">
        <f t="shared" si="417"/>
        <v>0</v>
      </c>
      <c r="Y2470">
        <f t="shared" si="418"/>
        <v>0</v>
      </c>
    </row>
    <row r="2471" spans="1:25">
      <c r="A2471" s="6"/>
      <c r="B2471" s="6" t="s">
        <v>30</v>
      </c>
      <c r="C2471" s="7" t="s">
        <v>26</v>
      </c>
      <c r="D2471" s="7"/>
      <c r="E2471" s="7"/>
      <c r="F2471" s="7">
        <f t="shared" ref="F2471:F2476" si="419">S2386</f>
        <v>1798</v>
      </c>
      <c r="G2471" s="8"/>
      <c r="H2471" s="7">
        <f t="shared" si="412"/>
        <v>0</v>
      </c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9">
        <f t="shared" si="413"/>
        <v>1798</v>
      </c>
      <c r="T2471" s="10">
        <f t="shared" si="414"/>
        <v>0</v>
      </c>
      <c r="U2471" s="10"/>
      <c r="V2471">
        <f t="shared" si="415"/>
        <v>0</v>
      </c>
      <c r="W2471">
        <f t="shared" si="416"/>
        <v>0</v>
      </c>
      <c r="X2471">
        <f t="shared" si="417"/>
        <v>0</v>
      </c>
      <c r="Y2471">
        <f t="shared" si="418"/>
        <v>0</v>
      </c>
    </row>
    <row r="2472" spans="1:25">
      <c r="A2472" s="6"/>
      <c r="B2472" s="6" t="s">
        <v>31</v>
      </c>
      <c r="C2472" s="7" t="s">
        <v>26</v>
      </c>
      <c r="D2472" s="7"/>
      <c r="E2472" s="7"/>
      <c r="F2472" s="7">
        <f t="shared" si="419"/>
        <v>1850</v>
      </c>
      <c r="G2472" s="8"/>
      <c r="H2472" s="7">
        <f>T2387</f>
        <v>0</v>
      </c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9">
        <f t="shared" si="413"/>
        <v>1850</v>
      </c>
      <c r="T2472" s="10">
        <f t="shared" si="414"/>
        <v>0</v>
      </c>
      <c r="U2472" s="10"/>
      <c r="V2472">
        <f t="shared" si="415"/>
        <v>0</v>
      </c>
      <c r="W2472">
        <f t="shared" si="416"/>
        <v>0</v>
      </c>
      <c r="X2472">
        <f t="shared" si="417"/>
        <v>0</v>
      </c>
      <c r="Y2472">
        <f t="shared" si="418"/>
        <v>0</v>
      </c>
    </row>
    <row r="2473" spans="1:25">
      <c r="A2473" s="6"/>
      <c r="B2473" s="6" t="s">
        <v>32</v>
      </c>
      <c r="C2473" s="7" t="s">
        <v>26</v>
      </c>
      <c r="D2473" s="7"/>
      <c r="E2473" s="7"/>
      <c r="F2473" s="7">
        <f t="shared" si="419"/>
        <v>983</v>
      </c>
      <c r="G2473" s="8"/>
      <c r="H2473" s="7">
        <f>T2388</f>
        <v>0</v>
      </c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9">
        <f t="shared" si="413"/>
        <v>983</v>
      </c>
      <c r="T2473" s="10">
        <f t="shared" si="414"/>
        <v>0</v>
      </c>
      <c r="U2473" s="10"/>
      <c r="V2473">
        <f t="shared" si="415"/>
        <v>0</v>
      </c>
      <c r="W2473">
        <f t="shared" si="416"/>
        <v>0</v>
      </c>
      <c r="X2473">
        <f t="shared" si="417"/>
        <v>0</v>
      </c>
      <c r="Y2473">
        <f t="shared" si="418"/>
        <v>0</v>
      </c>
    </row>
    <row r="2474" spans="1:25">
      <c r="A2474" s="6"/>
      <c r="B2474" s="6" t="s">
        <v>33</v>
      </c>
      <c r="C2474" s="7" t="s">
        <v>26</v>
      </c>
      <c r="D2474" s="20"/>
      <c r="E2474" s="20"/>
      <c r="F2474" s="7">
        <f t="shared" si="419"/>
        <v>1864</v>
      </c>
      <c r="G2474" s="21"/>
      <c r="H2474" s="7">
        <f>T2389</f>
        <v>0</v>
      </c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  <c r="S2474" s="9">
        <f t="shared" si="413"/>
        <v>1864</v>
      </c>
      <c r="T2474" s="10">
        <f t="shared" si="414"/>
        <v>0</v>
      </c>
      <c r="U2474" s="10"/>
    </row>
    <row r="2475" spans="1:25">
      <c r="A2475" s="6"/>
      <c r="B2475" s="11" t="s">
        <v>34</v>
      </c>
      <c r="C2475" s="7" t="s">
        <v>26</v>
      </c>
      <c r="D2475" s="20"/>
      <c r="E2475" s="20"/>
      <c r="F2475" s="7">
        <f t="shared" si="419"/>
        <v>17</v>
      </c>
      <c r="G2475" s="21"/>
      <c r="H2475" s="7">
        <f>T2390</f>
        <v>0</v>
      </c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  <c r="S2475" s="9">
        <f t="shared" si="413"/>
        <v>17</v>
      </c>
      <c r="T2475" s="10">
        <f t="shared" si="414"/>
        <v>0</v>
      </c>
      <c r="U2475" s="10"/>
    </row>
    <row r="2476" spans="1:25">
      <c r="A2476" s="6"/>
      <c r="B2476" s="11" t="s">
        <v>35</v>
      </c>
      <c r="C2476" s="7" t="s">
        <v>26</v>
      </c>
      <c r="D2476" s="20"/>
      <c r="E2476" s="20"/>
      <c r="F2476" s="7">
        <f t="shared" si="419"/>
        <v>120</v>
      </c>
      <c r="G2476" s="21"/>
      <c r="H2476" s="7">
        <f>T2391</f>
        <v>0</v>
      </c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  <c r="S2476" s="9">
        <f t="shared" si="413"/>
        <v>120</v>
      </c>
      <c r="T2476" s="10">
        <f t="shared" si="414"/>
        <v>0</v>
      </c>
      <c r="U2476" s="10"/>
    </row>
    <row r="2477" spans="1:25">
      <c r="A2477" s="6"/>
      <c r="B2477" s="11" t="s">
        <v>36</v>
      </c>
      <c r="C2477" s="7" t="s">
        <v>26</v>
      </c>
      <c r="D2477" s="20"/>
      <c r="E2477" s="20"/>
      <c r="F2477" s="7">
        <f t="shared" ref="F2477:F2530" si="420">S2392</f>
        <v>5677</v>
      </c>
      <c r="G2477" s="21"/>
      <c r="H2477" s="7">
        <f t="shared" ref="H2477:H2540" si="421">T2392</f>
        <v>0</v>
      </c>
      <c r="I2477" s="20"/>
      <c r="J2477" s="20"/>
      <c r="K2477" s="20"/>
      <c r="L2477" s="20"/>
      <c r="M2477" s="20"/>
      <c r="N2477" s="20"/>
      <c r="O2477" s="20"/>
      <c r="P2477" s="20"/>
      <c r="Q2477" s="20"/>
      <c r="R2477" s="20"/>
      <c r="S2477" s="9">
        <f t="shared" ref="S2477:S2506" si="422">F2477+G2477-J2477-K2477-L2477+M2477+O2477-P2477-R2477</f>
        <v>5677</v>
      </c>
      <c r="T2477" s="10">
        <f t="shared" ref="T2477:T2506" si="423">H2477+I2477+N2477+R2477-Q2477</f>
        <v>0</v>
      </c>
      <c r="U2477" s="10"/>
    </row>
    <row r="2478" ht="14" customHeight="1" spans="1:25">
      <c r="A2478" s="6"/>
      <c r="B2478" s="11" t="s">
        <v>37</v>
      </c>
      <c r="C2478" s="7" t="s">
        <v>26</v>
      </c>
      <c r="D2478" s="20"/>
      <c r="E2478" s="20"/>
      <c r="F2478" s="7">
        <f t="shared" si="420"/>
        <v>1697</v>
      </c>
      <c r="G2478" s="21"/>
      <c r="H2478" s="7">
        <f t="shared" si="421"/>
        <v>0</v>
      </c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  <c r="S2478" s="9">
        <f t="shared" si="422"/>
        <v>1697</v>
      </c>
      <c r="T2478" s="10">
        <f t="shared" si="423"/>
        <v>0</v>
      </c>
      <c r="U2478" s="10"/>
    </row>
    <row r="2479" spans="1:25">
      <c r="A2479" s="6"/>
      <c r="B2479" s="11" t="s">
        <v>38</v>
      </c>
      <c r="C2479" s="7" t="s">
        <v>26</v>
      </c>
      <c r="D2479" s="20"/>
      <c r="E2479" s="20"/>
      <c r="F2479" s="7">
        <f t="shared" si="420"/>
        <v>0</v>
      </c>
      <c r="G2479" s="21"/>
      <c r="H2479" s="7">
        <f t="shared" si="421"/>
        <v>0</v>
      </c>
      <c r="I2479" s="20"/>
      <c r="J2479" s="20"/>
      <c r="K2479" s="20"/>
      <c r="L2479" s="20"/>
      <c r="M2479" s="20"/>
      <c r="N2479" s="20"/>
      <c r="O2479" s="20"/>
      <c r="P2479" s="20"/>
      <c r="Q2479" s="20"/>
      <c r="R2479" s="20"/>
      <c r="S2479" s="9">
        <f t="shared" si="422"/>
        <v>0</v>
      </c>
      <c r="T2479" s="10">
        <f t="shared" si="423"/>
        <v>0</v>
      </c>
      <c r="U2479" s="10"/>
    </row>
    <row r="2480" spans="1:25">
      <c r="A2480" s="6"/>
      <c r="B2480" s="11" t="s">
        <v>39</v>
      </c>
      <c r="C2480" s="7" t="s">
        <v>26</v>
      </c>
      <c r="D2480" s="20"/>
      <c r="E2480" s="20"/>
      <c r="F2480" s="7">
        <f t="shared" si="420"/>
        <v>1973</v>
      </c>
      <c r="G2480" s="21"/>
      <c r="H2480" s="7">
        <f t="shared" si="421"/>
        <v>0</v>
      </c>
      <c r="I2480" s="20"/>
      <c r="J2480" s="20"/>
      <c r="K2480" s="20"/>
      <c r="L2480" s="20"/>
      <c r="M2480" s="20"/>
      <c r="N2480" s="20"/>
      <c r="O2480" s="20"/>
      <c r="P2480" s="20"/>
      <c r="Q2480" s="20"/>
      <c r="R2480" s="20"/>
      <c r="S2480" s="9">
        <f t="shared" si="422"/>
        <v>1973</v>
      </c>
      <c r="T2480" s="10">
        <f t="shared" si="423"/>
        <v>0</v>
      </c>
      <c r="U2480" s="10"/>
    </row>
    <row r="2481" spans="1:21">
      <c r="A2481" s="6"/>
      <c r="B2481" s="11" t="s">
        <v>40</v>
      </c>
      <c r="C2481" s="7" t="s">
        <v>41</v>
      </c>
      <c r="D2481" s="20"/>
      <c r="E2481" s="20"/>
      <c r="F2481" s="7">
        <f t="shared" si="420"/>
        <v>0</v>
      </c>
      <c r="G2481" s="21"/>
      <c r="H2481" s="7">
        <f t="shared" si="421"/>
        <v>0</v>
      </c>
      <c r="I2481" s="20"/>
      <c r="J2481" s="20"/>
      <c r="K2481" s="20"/>
      <c r="L2481" s="20"/>
      <c r="M2481" s="20"/>
      <c r="N2481" s="20"/>
      <c r="O2481" s="20"/>
      <c r="P2481" s="20"/>
      <c r="Q2481" s="20"/>
      <c r="R2481" s="20"/>
      <c r="S2481" s="9">
        <f t="shared" si="422"/>
        <v>0</v>
      </c>
      <c r="T2481" s="10">
        <f t="shared" si="423"/>
        <v>0</v>
      </c>
      <c r="U2481" s="10"/>
    </row>
    <row r="2482" spans="1:21">
      <c r="A2482" s="6"/>
      <c r="B2482" s="11" t="s">
        <v>42</v>
      </c>
      <c r="C2482" s="7" t="s">
        <v>41</v>
      </c>
      <c r="D2482" s="20"/>
      <c r="E2482" s="20"/>
      <c r="F2482" s="7">
        <f t="shared" si="420"/>
        <v>53</v>
      </c>
      <c r="G2482" s="21"/>
      <c r="H2482" s="7">
        <f t="shared" si="421"/>
        <v>0</v>
      </c>
      <c r="I2482" s="20"/>
      <c r="J2482" s="20"/>
      <c r="K2482" s="20"/>
      <c r="L2482" s="20"/>
      <c r="M2482" s="20"/>
      <c r="N2482" s="20"/>
      <c r="O2482" s="20"/>
      <c r="P2482" s="20"/>
      <c r="Q2482" s="20"/>
      <c r="R2482" s="20"/>
      <c r="S2482" s="9">
        <f t="shared" si="422"/>
        <v>53</v>
      </c>
      <c r="T2482" s="10">
        <f t="shared" si="423"/>
        <v>0</v>
      </c>
      <c r="U2482" s="10"/>
    </row>
    <row r="2483" spans="1:21">
      <c r="A2483" s="6"/>
      <c r="B2483" s="11" t="s">
        <v>43</v>
      </c>
      <c r="C2483" s="7" t="s">
        <v>41</v>
      </c>
      <c r="D2483" s="20"/>
      <c r="E2483" s="20"/>
      <c r="F2483" s="7">
        <f t="shared" si="420"/>
        <v>0</v>
      </c>
      <c r="G2483" s="21"/>
      <c r="H2483" s="7">
        <f t="shared" si="421"/>
        <v>0</v>
      </c>
      <c r="I2483" s="20"/>
      <c r="J2483" s="20"/>
      <c r="K2483" s="20"/>
      <c r="L2483" s="20"/>
      <c r="M2483" s="20"/>
      <c r="N2483" s="20"/>
      <c r="O2483" s="20"/>
      <c r="P2483" s="20"/>
      <c r="Q2483" s="20"/>
      <c r="R2483" s="20"/>
      <c r="S2483" s="9">
        <f t="shared" si="422"/>
        <v>0</v>
      </c>
      <c r="T2483" s="10">
        <f t="shared" si="423"/>
        <v>0</v>
      </c>
      <c r="U2483" s="10"/>
    </row>
    <row r="2484" spans="1:21">
      <c r="A2484" s="6"/>
      <c r="B2484" s="11" t="s">
        <v>44</v>
      </c>
      <c r="C2484" s="7" t="s">
        <v>41</v>
      </c>
      <c r="D2484" s="20"/>
      <c r="E2484" s="20"/>
      <c r="F2484" s="7">
        <f t="shared" si="420"/>
        <v>75</v>
      </c>
      <c r="G2484" s="21"/>
      <c r="H2484" s="7">
        <f t="shared" si="421"/>
        <v>0</v>
      </c>
      <c r="I2484" s="20"/>
      <c r="J2484" s="20"/>
      <c r="K2484" s="20"/>
      <c r="L2484" s="20"/>
      <c r="M2484" s="20"/>
      <c r="N2484" s="20"/>
      <c r="O2484" s="20"/>
      <c r="P2484" s="20"/>
      <c r="Q2484" s="20"/>
      <c r="R2484" s="20"/>
      <c r="S2484" s="9">
        <f t="shared" si="422"/>
        <v>75</v>
      </c>
      <c r="T2484" s="10">
        <f t="shared" si="423"/>
        <v>0</v>
      </c>
      <c r="U2484" s="10"/>
    </row>
    <row r="2485" spans="1:21">
      <c r="A2485" s="6"/>
      <c r="B2485" s="11" t="s">
        <v>45</v>
      </c>
      <c r="C2485" s="7" t="s">
        <v>41</v>
      </c>
      <c r="D2485" s="20"/>
      <c r="E2485" s="20"/>
      <c r="F2485" s="7">
        <f t="shared" si="420"/>
        <v>0</v>
      </c>
      <c r="G2485" s="21"/>
      <c r="H2485" s="7">
        <f t="shared" si="421"/>
        <v>0</v>
      </c>
      <c r="I2485" s="20"/>
      <c r="J2485" s="20"/>
      <c r="K2485" s="20"/>
      <c r="L2485" s="20"/>
      <c r="M2485" s="20"/>
      <c r="N2485" s="20"/>
      <c r="O2485" s="20"/>
      <c r="P2485" s="20"/>
      <c r="Q2485" s="20"/>
      <c r="R2485" s="20"/>
      <c r="S2485" s="9">
        <f t="shared" si="422"/>
        <v>0</v>
      </c>
      <c r="T2485" s="10">
        <f t="shared" si="423"/>
        <v>0</v>
      </c>
      <c r="U2485" s="10"/>
    </row>
    <row r="2486" spans="1:21">
      <c r="A2486" s="6"/>
      <c r="B2486" s="11" t="s">
        <v>46</v>
      </c>
      <c r="C2486" s="7" t="s">
        <v>41</v>
      </c>
      <c r="D2486" s="20"/>
      <c r="E2486" s="20"/>
      <c r="F2486" s="7">
        <f t="shared" si="420"/>
        <v>17</v>
      </c>
      <c r="G2486" s="21"/>
      <c r="H2486" s="7">
        <f t="shared" si="421"/>
        <v>0</v>
      </c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  <c r="S2486" s="9">
        <f t="shared" si="422"/>
        <v>17</v>
      </c>
      <c r="T2486" s="10">
        <f t="shared" si="423"/>
        <v>0</v>
      </c>
      <c r="U2486" s="10"/>
    </row>
    <row r="2487" spans="1:21">
      <c r="A2487" s="6"/>
      <c r="B2487" s="11" t="s">
        <v>47</v>
      </c>
      <c r="C2487" s="7" t="s">
        <v>26</v>
      </c>
      <c r="D2487" s="20"/>
      <c r="E2487" s="20"/>
      <c r="F2487" s="7">
        <f t="shared" si="420"/>
        <v>0</v>
      </c>
      <c r="G2487" s="21"/>
      <c r="H2487" s="7">
        <f t="shared" si="421"/>
        <v>0</v>
      </c>
      <c r="I2487" s="20"/>
      <c r="J2487" s="20"/>
      <c r="K2487" s="20"/>
      <c r="L2487" s="20"/>
      <c r="M2487" s="20"/>
      <c r="N2487" s="20"/>
      <c r="O2487" s="20"/>
      <c r="P2487" s="20"/>
      <c r="Q2487" s="20"/>
      <c r="R2487" s="20"/>
      <c r="S2487" s="9">
        <f t="shared" si="422"/>
        <v>0</v>
      </c>
      <c r="T2487" s="10">
        <f t="shared" si="423"/>
        <v>0</v>
      </c>
      <c r="U2487" s="10"/>
    </row>
    <row r="2488" spans="1:21">
      <c r="A2488" s="6"/>
      <c r="B2488" s="11" t="s">
        <v>48</v>
      </c>
      <c r="C2488" s="7" t="s">
        <v>26</v>
      </c>
      <c r="D2488" s="20"/>
      <c r="E2488" s="20"/>
      <c r="F2488" s="7">
        <f t="shared" si="420"/>
        <v>56</v>
      </c>
      <c r="G2488" s="21"/>
      <c r="H2488" s="7">
        <f t="shared" si="421"/>
        <v>0</v>
      </c>
      <c r="I2488" s="20"/>
      <c r="J2488" s="20"/>
      <c r="K2488" s="20"/>
      <c r="L2488" s="20"/>
      <c r="M2488" s="20"/>
      <c r="N2488" s="20"/>
      <c r="O2488" s="20"/>
      <c r="P2488" s="22"/>
      <c r="Q2488" s="20"/>
      <c r="R2488" s="20"/>
      <c r="S2488" s="9">
        <f t="shared" si="422"/>
        <v>56</v>
      </c>
      <c r="T2488" s="10">
        <f t="shared" si="423"/>
        <v>0</v>
      </c>
      <c r="U2488" s="10"/>
    </row>
    <row r="2489" spans="1:21">
      <c r="A2489" s="6"/>
      <c r="B2489" s="11" t="s">
        <v>50</v>
      </c>
      <c r="C2489" s="7" t="s">
        <v>26</v>
      </c>
      <c r="D2489" s="20"/>
      <c r="E2489" s="20"/>
      <c r="F2489" s="7">
        <f t="shared" si="420"/>
        <v>0</v>
      </c>
      <c r="G2489" s="21"/>
      <c r="H2489" s="7">
        <f t="shared" si="421"/>
        <v>0</v>
      </c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  <c r="S2489" s="9">
        <f t="shared" si="422"/>
        <v>0</v>
      </c>
      <c r="T2489" s="10">
        <f t="shared" si="423"/>
        <v>0</v>
      </c>
      <c r="U2489" s="10"/>
    </row>
    <row r="2490" spans="1:21">
      <c r="A2490" s="6"/>
      <c r="B2490" s="11" t="s">
        <v>51</v>
      </c>
      <c r="C2490" s="7" t="s">
        <v>26</v>
      </c>
      <c r="D2490" s="20"/>
      <c r="E2490" s="20"/>
      <c r="F2490" s="7">
        <f t="shared" si="420"/>
        <v>0</v>
      </c>
      <c r="G2490" s="21"/>
      <c r="H2490" s="7">
        <f t="shared" si="421"/>
        <v>0</v>
      </c>
      <c r="I2490" s="20"/>
      <c r="J2490" s="20"/>
      <c r="K2490" s="20"/>
      <c r="L2490" s="20"/>
      <c r="M2490" s="20"/>
      <c r="N2490" s="20"/>
      <c r="O2490" s="20"/>
      <c r="P2490" s="20"/>
      <c r="Q2490" s="20"/>
      <c r="R2490" s="20"/>
      <c r="S2490" s="9">
        <f t="shared" si="422"/>
        <v>0</v>
      </c>
      <c r="T2490" s="10">
        <f t="shared" si="423"/>
        <v>0</v>
      </c>
      <c r="U2490" s="10"/>
    </row>
    <row r="2491" spans="1:21">
      <c r="A2491" s="6"/>
      <c r="B2491" s="11" t="s">
        <v>52</v>
      </c>
      <c r="C2491" s="7" t="s">
        <v>26</v>
      </c>
      <c r="D2491" s="20"/>
      <c r="E2491" s="20"/>
      <c r="F2491" s="7">
        <f t="shared" si="420"/>
        <v>76</v>
      </c>
      <c r="G2491" s="21"/>
      <c r="H2491" s="7">
        <f t="shared" si="421"/>
        <v>0</v>
      </c>
      <c r="I2491" s="20"/>
      <c r="J2491" s="20"/>
      <c r="K2491" s="20"/>
      <c r="L2491" s="20"/>
      <c r="M2491" s="20"/>
      <c r="N2491" s="20"/>
      <c r="O2491" s="20"/>
      <c r="P2491" s="20"/>
      <c r="Q2491" s="20"/>
      <c r="R2491" s="20"/>
      <c r="S2491" s="9">
        <f t="shared" si="422"/>
        <v>76</v>
      </c>
      <c r="T2491" s="10">
        <f t="shared" si="423"/>
        <v>0</v>
      </c>
      <c r="U2491" s="10"/>
    </row>
    <row r="2492" spans="1:21">
      <c r="A2492" s="6"/>
      <c r="B2492" s="11" t="s">
        <v>53</v>
      </c>
      <c r="C2492" s="7" t="s">
        <v>54</v>
      </c>
      <c r="D2492" s="20"/>
      <c r="E2492" s="20"/>
      <c r="F2492" s="7">
        <f t="shared" si="420"/>
        <v>0</v>
      </c>
      <c r="G2492" s="21"/>
      <c r="H2492" s="7">
        <f t="shared" si="421"/>
        <v>0</v>
      </c>
      <c r="I2492" s="20"/>
      <c r="J2492" s="20"/>
      <c r="K2492" s="20"/>
      <c r="L2492" s="20"/>
      <c r="M2492" s="20"/>
      <c r="N2492" s="20"/>
      <c r="O2492" s="20"/>
      <c r="P2492" s="20"/>
      <c r="Q2492" s="20"/>
      <c r="R2492" s="20"/>
      <c r="S2492" s="9">
        <f t="shared" si="422"/>
        <v>0</v>
      </c>
      <c r="T2492" s="10">
        <f t="shared" si="423"/>
        <v>0</v>
      </c>
      <c r="U2492" s="10"/>
    </row>
    <row r="2493" spans="1:21">
      <c r="A2493" s="6"/>
      <c r="B2493" s="11" t="s">
        <v>55</v>
      </c>
      <c r="C2493" s="7" t="s">
        <v>54</v>
      </c>
      <c r="D2493" s="20"/>
      <c r="E2493" s="20"/>
      <c r="F2493" s="7">
        <f t="shared" si="420"/>
        <v>15</v>
      </c>
      <c r="G2493" s="21"/>
      <c r="H2493" s="7">
        <f t="shared" si="421"/>
        <v>0</v>
      </c>
      <c r="I2493" s="20"/>
      <c r="J2493" s="20"/>
      <c r="K2493" s="20"/>
      <c r="L2493" s="20"/>
      <c r="M2493" s="20"/>
      <c r="N2493" s="20"/>
      <c r="O2493" s="20"/>
      <c r="P2493" s="20"/>
      <c r="Q2493" s="20"/>
      <c r="R2493" s="20"/>
      <c r="S2493" s="9">
        <f t="shared" si="422"/>
        <v>15</v>
      </c>
      <c r="T2493" s="10">
        <f t="shared" si="423"/>
        <v>0</v>
      </c>
      <c r="U2493" s="10"/>
    </row>
    <row r="2494" spans="1:21">
      <c r="A2494" s="6"/>
      <c r="B2494" s="11" t="s">
        <v>56</v>
      </c>
      <c r="C2494" s="7" t="s">
        <v>54</v>
      </c>
      <c r="D2494" s="20"/>
      <c r="E2494" s="20"/>
      <c r="F2494" s="7">
        <f t="shared" si="420"/>
        <v>2489</v>
      </c>
      <c r="G2494" s="21"/>
      <c r="H2494" s="7">
        <f t="shared" si="421"/>
        <v>0</v>
      </c>
      <c r="I2494" s="20"/>
      <c r="J2494" s="20"/>
      <c r="K2494" s="20"/>
      <c r="L2494" s="20"/>
      <c r="M2494" s="20"/>
      <c r="N2494" s="20"/>
      <c r="O2494" s="20"/>
      <c r="P2494" s="20"/>
      <c r="Q2494" s="20"/>
      <c r="R2494" s="20"/>
      <c r="S2494" s="9">
        <f t="shared" si="422"/>
        <v>2489</v>
      </c>
      <c r="T2494" s="10">
        <f t="shared" si="423"/>
        <v>0</v>
      </c>
      <c r="U2494" s="10"/>
    </row>
    <row r="2495" spans="1:21">
      <c r="A2495" s="6"/>
      <c r="B2495" s="11" t="s">
        <v>57</v>
      </c>
      <c r="C2495" s="7" t="s">
        <v>54</v>
      </c>
      <c r="D2495" s="20"/>
      <c r="E2495" s="20"/>
      <c r="F2495" s="7">
        <f t="shared" si="420"/>
        <v>492</v>
      </c>
      <c r="G2495" s="21"/>
      <c r="H2495" s="7">
        <f t="shared" si="421"/>
        <v>0</v>
      </c>
      <c r="I2495" s="20"/>
      <c r="J2495" s="20"/>
      <c r="K2495" s="20"/>
      <c r="L2495" s="20"/>
      <c r="M2495" s="20"/>
      <c r="N2495" s="20"/>
      <c r="O2495" s="20"/>
      <c r="P2495" s="20"/>
      <c r="Q2495" s="20"/>
      <c r="R2495" s="20"/>
      <c r="S2495" s="9">
        <f t="shared" si="422"/>
        <v>492</v>
      </c>
      <c r="T2495" s="10">
        <f t="shared" si="423"/>
        <v>0</v>
      </c>
      <c r="U2495" s="10"/>
    </row>
    <row r="2496" ht="14" customHeight="1" spans="1:21">
      <c r="A2496" s="6"/>
      <c r="B2496" s="11" t="s">
        <v>58</v>
      </c>
      <c r="C2496" s="7" t="s">
        <v>54</v>
      </c>
      <c r="D2496" s="20"/>
      <c r="E2496" s="20"/>
      <c r="F2496" s="7">
        <f t="shared" si="420"/>
        <v>0</v>
      </c>
      <c r="G2496" s="21"/>
      <c r="H2496" s="7">
        <f t="shared" si="421"/>
        <v>0</v>
      </c>
      <c r="I2496" s="20"/>
      <c r="J2496" s="20"/>
      <c r="K2496" s="20"/>
      <c r="L2496" s="20"/>
      <c r="M2496" s="20"/>
      <c r="N2496" s="20"/>
      <c r="O2496" s="20"/>
      <c r="P2496" s="20"/>
      <c r="Q2496" s="20"/>
      <c r="R2496" s="20"/>
      <c r="S2496" s="9">
        <f t="shared" si="422"/>
        <v>0</v>
      </c>
      <c r="T2496" s="10">
        <f t="shared" si="423"/>
        <v>0</v>
      </c>
      <c r="U2496" s="10"/>
    </row>
    <row r="2497" spans="1:21">
      <c r="A2497" s="6"/>
      <c r="B2497" s="11" t="s">
        <v>59</v>
      </c>
      <c r="C2497" s="7" t="s">
        <v>54</v>
      </c>
      <c r="D2497" s="20"/>
      <c r="E2497" s="20"/>
      <c r="F2497" s="7">
        <f t="shared" si="420"/>
        <v>19</v>
      </c>
      <c r="G2497" s="21"/>
      <c r="H2497" s="7">
        <f t="shared" si="421"/>
        <v>0</v>
      </c>
      <c r="I2497" s="20"/>
      <c r="J2497" s="20"/>
      <c r="K2497" s="20"/>
      <c r="L2497" s="20"/>
      <c r="M2497" s="20"/>
      <c r="N2497" s="20"/>
      <c r="O2497" s="20"/>
      <c r="P2497" s="20"/>
      <c r="Q2497" s="20"/>
      <c r="R2497" s="20"/>
      <c r="S2497" s="9">
        <f t="shared" si="422"/>
        <v>19</v>
      </c>
      <c r="T2497" s="10">
        <f t="shared" si="423"/>
        <v>0</v>
      </c>
      <c r="U2497" s="10"/>
    </row>
    <row r="2498" spans="1:21">
      <c r="A2498" s="6"/>
      <c r="B2498" s="11" t="s">
        <v>60</v>
      </c>
      <c r="C2498" s="7" t="s">
        <v>61</v>
      </c>
      <c r="D2498" s="20"/>
      <c r="E2498" s="20"/>
      <c r="F2498" s="7">
        <f t="shared" si="420"/>
        <v>0</v>
      </c>
      <c r="G2498" s="21"/>
      <c r="H2498" s="7">
        <f t="shared" si="421"/>
        <v>0</v>
      </c>
      <c r="I2498" s="20"/>
      <c r="J2498" s="20"/>
      <c r="K2498" s="20"/>
      <c r="L2498" s="20"/>
      <c r="M2498" s="20"/>
      <c r="N2498" s="20"/>
      <c r="O2498" s="20"/>
      <c r="P2498" s="20"/>
      <c r="Q2498" s="20"/>
      <c r="R2498" s="20"/>
      <c r="S2498" s="9">
        <f t="shared" si="422"/>
        <v>0</v>
      </c>
      <c r="T2498" s="10">
        <f t="shared" si="423"/>
        <v>0</v>
      </c>
      <c r="U2498" s="10"/>
    </row>
    <row r="2499" spans="1:21">
      <c r="A2499" s="6"/>
      <c r="B2499" s="11" t="s">
        <v>62</v>
      </c>
      <c r="C2499" s="7" t="s">
        <v>61</v>
      </c>
      <c r="D2499" s="20"/>
      <c r="E2499" s="20"/>
      <c r="F2499" s="7">
        <f t="shared" si="420"/>
        <v>11</v>
      </c>
      <c r="G2499" s="21"/>
      <c r="H2499" s="7">
        <f t="shared" si="421"/>
        <v>0</v>
      </c>
      <c r="I2499" s="20"/>
      <c r="J2499" s="20"/>
      <c r="K2499" s="20"/>
      <c r="L2499" s="20"/>
      <c r="M2499" s="20"/>
      <c r="N2499" s="20"/>
      <c r="O2499" s="20"/>
      <c r="P2499" s="20"/>
      <c r="Q2499" s="20"/>
      <c r="R2499" s="20"/>
      <c r="S2499" s="9">
        <f t="shared" si="422"/>
        <v>11</v>
      </c>
      <c r="T2499" s="10">
        <f t="shared" si="423"/>
        <v>0</v>
      </c>
      <c r="U2499" s="10"/>
    </row>
    <row r="2500" spans="1:21">
      <c r="A2500" s="6"/>
      <c r="B2500" s="10" t="s">
        <v>63</v>
      </c>
      <c r="C2500" s="10" t="s">
        <v>41</v>
      </c>
      <c r="D2500" s="20"/>
      <c r="E2500" s="20"/>
      <c r="F2500" s="7">
        <f t="shared" si="420"/>
        <v>0</v>
      </c>
      <c r="G2500" s="21"/>
      <c r="H2500" s="7">
        <f t="shared" si="421"/>
        <v>0</v>
      </c>
      <c r="I2500" s="20"/>
      <c r="J2500" s="20"/>
      <c r="K2500" s="20"/>
      <c r="L2500" s="20"/>
      <c r="M2500" s="20"/>
      <c r="N2500" s="20"/>
      <c r="O2500" s="20"/>
      <c r="P2500" s="20"/>
      <c r="Q2500" s="20"/>
      <c r="R2500" s="20"/>
      <c r="S2500" s="9">
        <f t="shared" si="422"/>
        <v>0</v>
      </c>
      <c r="T2500" s="10">
        <f t="shared" si="423"/>
        <v>0</v>
      </c>
      <c r="U2500" s="10"/>
    </row>
    <row r="2501" spans="1:21">
      <c r="A2501" s="6"/>
      <c r="B2501" s="10" t="s">
        <v>64</v>
      </c>
      <c r="C2501" s="10" t="s">
        <v>41</v>
      </c>
      <c r="D2501" s="20"/>
      <c r="E2501" s="20"/>
      <c r="F2501" s="7">
        <f t="shared" si="420"/>
        <v>5</v>
      </c>
      <c r="G2501" s="21"/>
      <c r="H2501" s="7">
        <f t="shared" si="421"/>
        <v>0</v>
      </c>
      <c r="I2501" s="20"/>
      <c r="J2501" s="20"/>
      <c r="K2501" s="20"/>
      <c r="L2501" s="20"/>
      <c r="M2501" s="20"/>
      <c r="N2501" s="20"/>
      <c r="O2501" s="20"/>
      <c r="P2501" s="20"/>
      <c r="Q2501" s="20"/>
      <c r="R2501" s="20"/>
      <c r="S2501" s="9">
        <f t="shared" si="422"/>
        <v>5</v>
      </c>
      <c r="T2501" s="10">
        <f t="shared" si="423"/>
        <v>0</v>
      </c>
      <c r="U2501" s="10"/>
    </row>
    <row r="2502" spans="1:21">
      <c r="A2502" s="6"/>
      <c r="B2502" s="11" t="s">
        <v>65</v>
      </c>
      <c r="C2502" s="7" t="s">
        <v>26</v>
      </c>
      <c r="D2502" s="20"/>
      <c r="E2502" s="20"/>
      <c r="F2502" s="7">
        <f t="shared" si="420"/>
        <v>0</v>
      </c>
      <c r="G2502" s="21"/>
      <c r="H2502" s="7">
        <f t="shared" si="421"/>
        <v>0</v>
      </c>
      <c r="I2502" s="20"/>
      <c r="J2502" s="20"/>
      <c r="K2502" s="20"/>
      <c r="L2502" s="20"/>
      <c r="M2502" s="20"/>
      <c r="N2502" s="20"/>
      <c r="O2502" s="20"/>
      <c r="P2502" s="20"/>
      <c r="Q2502" s="20"/>
      <c r="R2502" s="20"/>
      <c r="S2502" s="9">
        <f t="shared" si="422"/>
        <v>0</v>
      </c>
      <c r="T2502" s="10">
        <f t="shared" si="423"/>
        <v>0</v>
      </c>
      <c r="U2502" s="10"/>
    </row>
    <row r="2503" spans="1:21">
      <c r="A2503" s="6"/>
      <c r="B2503" s="11" t="s">
        <v>66</v>
      </c>
      <c r="C2503" s="7" t="s">
        <v>26</v>
      </c>
      <c r="D2503" s="20"/>
      <c r="E2503" s="20"/>
      <c r="F2503" s="7">
        <f t="shared" si="420"/>
        <v>71</v>
      </c>
      <c r="G2503" s="21"/>
      <c r="H2503" s="7">
        <f t="shared" si="421"/>
        <v>0</v>
      </c>
      <c r="I2503" s="20"/>
      <c r="J2503" s="20"/>
      <c r="K2503" s="20"/>
      <c r="L2503" s="20"/>
      <c r="M2503" s="20"/>
      <c r="N2503" s="20"/>
      <c r="O2503" s="20"/>
      <c r="P2503" s="20"/>
      <c r="Q2503" s="20"/>
      <c r="R2503" s="20"/>
      <c r="S2503" s="9">
        <f t="shared" si="422"/>
        <v>71</v>
      </c>
      <c r="T2503" s="10">
        <f t="shared" si="423"/>
        <v>0</v>
      </c>
      <c r="U2503" s="10"/>
    </row>
    <row r="2504" spans="1:21">
      <c r="A2504" s="6"/>
      <c r="B2504" s="11" t="s">
        <v>67</v>
      </c>
      <c r="C2504" s="7" t="s">
        <v>26</v>
      </c>
      <c r="D2504" s="20"/>
      <c r="E2504" s="20"/>
      <c r="F2504" s="7">
        <f t="shared" si="420"/>
        <v>0</v>
      </c>
      <c r="G2504" s="21"/>
      <c r="H2504" s="7">
        <f t="shared" si="421"/>
        <v>0</v>
      </c>
      <c r="I2504" s="20"/>
      <c r="J2504" s="20"/>
      <c r="K2504" s="20"/>
      <c r="L2504" s="20"/>
      <c r="M2504" s="20"/>
      <c r="N2504" s="20"/>
      <c r="O2504" s="20"/>
      <c r="P2504" s="20"/>
      <c r="Q2504" s="20"/>
      <c r="R2504" s="20"/>
      <c r="S2504" s="9">
        <f t="shared" si="422"/>
        <v>0</v>
      </c>
      <c r="T2504" s="10">
        <f t="shared" si="423"/>
        <v>0</v>
      </c>
      <c r="U2504" s="10"/>
    </row>
    <row r="2505" spans="1:21">
      <c r="A2505" s="6"/>
      <c r="B2505" s="11" t="s">
        <v>68</v>
      </c>
      <c r="C2505" s="7" t="s">
        <v>26</v>
      </c>
      <c r="D2505" s="20"/>
      <c r="E2505" s="20"/>
      <c r="F2505" s="7">
        <f t="shared" si="420"/>
        <v>7</v>
      </c>
      <c r="G2505" s="21"/>
      <c r="H2505" s="7">
        <f t="shared" si="421"/>
        <v>0</v>
      </c>
      <c r="I2505" s="20"/>
      <c r="J2505" s="20"/>
      <c r="K2505" s="20"/>
      <c r="L2505" s="20"/>
      <c r="M2505" s="20"/>
      <c r="N2505" s="20"/>
      <c r="O2505" s="20"/>
      <c r="P2505" s="20"/>
      <c r="Q2505" s="20"/>
      <c r="R2505" s="20"/>
      <c r="S2505" s="9">
        <f t="shared" si="422"/>
        <v>7</v>
      </c>
      <c r="T2505" s="10">
        <f t="shared" si="423"/>
        <v>0</v>
      </c>
      <c r="U2505" s="10"/>
    </row>
    <row r="2506" spans="1:21">
      <c r="A2506" s="6"/>
      <c r="B2506" s="11" t="s">
        <v>69</v>
      </c>
      <c r="C2506" s="7" t="s">
        <v>41</v>
      </c>
      <c r="D2506" s="20"/>
      <c r="E2506" s="20"/>
      <c r="F2506" s="7">
        <f t="shared" si="420"/>
        <v>0</v>
      </c>
      <c r="G2506" s="21"/>
      <c r="H2506" s="7">
        <f t="shared" si="421"/>
        <v>0</v>
      </c>
      <c r="I2506" s="20"/>
      <c r="J2506" s="20"/>
      <c r="K2506" s="20"/>
      <c r="L2506" s="20"/>
      <c r="M2506" s="20"/>
      <c r="N2506" s="20"/>
      <c r="O2506" s="20"/>
      <c r="P2506" s="20"/>
      <c r="Q2506" s="20"/>
      <c r="R2506" s="20"/>
      <c r="S2506" s="9">
        <f t="shared" si="422"/>
        <v>0</v>
      </c>
      <c r="T2506" s="10">
        <f t="shared" si="423"/>
        <v>0</v>
      </c>
      <c r="U2506" s="10"/>
    </row>
    <row r="2507" spans="1:21">
      <c r="A2507" s="6"/>
      <c r="B2507" s="11" t="s">
        <v>70</v>
      </c>
      <c r="C2507" s="7" t="s">
        <v>41</v>
      </c>
      <c r="D2507" s="20"/>
      <c r="E2507" s="20"/>
      <c r="F2507" s="7">
        <f t="shared" si="420"/>
        <v>13</v>
      </c>
      <c r="G2507" s="21"/>
      <c r="H2507" s="7">
        <f t="shared" si="421"/>
        <v>0</v>
      </c>
      <c r="I2507" s="20"/>
      <c r="J2507" s="20"/>
      <c r="K2507" s="20"/>
      <c r="L2507" s="20"/>
      <c r="M2507" s="20"/>
      <c r="N2507" s="20"/>
      <c r="O2507" s="20"/>
      <c r="P2507" s="20"/>
      <c r="Q2507" s="20"/>
      <c r="R2507" s="20"/>
      <c r="S2507" s="9">
        <f t="shared" ref="S2507:S2566" si="424">F2507+G2507-J2507-K2507-L2507+M2507+O2507-P2507-R2507</f>
        <v>13</v>
      </c>
      <c r="T2507" s="10">
        <f t="shared" ref="T2507:T2566" si="425">H2507+I2507+N2507+R2507-Q2507</f>
        <v>0</v>
      </c>
      <c r="U2507" s="10"/>
    </row>
    <row r="2508" spans="1:21">
      <c r="A2508" s="6"/>
      <c r="B2508" s="11" t="s">
        <v>71</v>
      </c>
      <c r="C2508" s="7" t="s">
        <v>61</v>
      </c>
      <c r="D2508" s="20"/>
      <c r="E2508" s="20"/>
      <c r="F2508" s="7">
        <f t="shared" si="420"/>
        <v>0</v>
      </c>
      <c r="G2508" s="21"/>
      <c r="H2508" s="7">
        <f t="shared" si="421"/>
        <v>0</v>
      </c>
      <c r="I2508" s="20"/>
      <c r="J2508" s="20"/>
      <c r="K2508" s="20"/>
      <c r="L2508" s="20"/>
      <c r="M2508" s="20"/>
      <c r="N2508" s="20"/>
      <c r="O2508" s="20"/>
      <c r="P2508" s="20"/>
      <c r="Q2508" s="20"/>
      <c r="R2508" s="20"/>
      <c r="S2508" s="9">
        <f t="shared" si="424"/>
        <v>0</v>
      </c>
      <c r="T2508" s="10">
        <f t="shared" si="425"/>
        <v>0</v>
      </c>
      <c r="U2508" s="10"/>
    </row>
    <row r="2509" spans="1:21">
      <c r="A2509" s="6"/>
      <c r="B2509" s="11" t="s">
        <v>72</v>
      </c>
      <c r="C2509" s="7" t="s">
        <v>61</v>
      </c>
      <c r="D2509" s="20"/>
      <c r="E2509" s="20"/>
      <c r="F2509" s="7">
        <f t="shared" si="420"/>
        <v>8</v>
      </c>
      <c r="G2509" s="21"/>
      <c r="H2509" s="7">
        <f t="shared" si="421"/>
        <v>0</v>
      </c>
      <c r="I2509" s="20"/>
      <c r="J2509" s="20"/>
      <c r="K2509" s="20"/>
      <c r="L2509" s="20"/>
      <c r="M2509" s="20"/>
      <c r="N2509" s="20"/>
      <c r="O2509" s="20"/>
      <c r="P2509" s="20"/>
      <c r="Q2509" s="20"/>
      <c r="R2509" s="20"/>
      <c r="S2509" s="9">
        <f t="shared" si="424"/>
        <v>8</v>
      </c>
      <c r="T2509" s="10">
        <f t="shared" si="425"/>
        <v>0</v>
      </c>
      <c r="U2509" s="10"/>
    </row>
    <row r="2510" spans="1:21">
      <c r="A2510" s="6"/>
      <c r="B2510" s="11" t="s">
        <v>73</v>
      </c>
      <c r="C2510" s="7" t="s">
        <v>26</v>
      </c>
      <c r="D2510" s="20"/>
      <c r="E2510" s="20"/>
      <c r="F2510" s="7">
        <f t="shared" si="420"/>
        <v>0</v>
      </c>
      <c r="G2510" s="21"/>
      <c r="H2510" s="7">
        <f t="shared" si="421"/>
        <v>0</v>
      </c>
      <c r="I2510" s="20"/>
      <c r="J2510" s="20"/>
      <c r="K2510" s="20"/>
      <c r="L2510" s="20"/>
      <c r="M2510" s="20"/>
      <c r="N2510" s="20"/>
      <c r="O2510" s="20"/>
      <c r="P2510" s="20"/>
      <c r="Q2510" s="20"/>
      <c r="R2510" s="20"/>
      <c r="S2510" s="9">
        <f t="shared" si="424"/>
        <v>0</v>
      </c>
      <c r="T2510" s="10">
        <f t="shared" si="425"/>
        <v>0</v>
      </c>
      <c r="U2510" s="10"/>
    </row>
    <row r="2511" spans="1:21">
      <c r="A2511" s="6"/>
      <c r="B2511" s="11" t="s">
        <v>74</v>
      </c>
      <c r="C2511" s="7" t="s">
        <v>26</v>
      </c>
      <c r="D2511" s="20"/>
      <c r="E2511" s="20"/>
      <c r="F2511" s="7">
        <f t="shared" si="420"/>
        <v>22</v>
      </c>
      <c r="G2511" s="21"/>
      <c r="H2511" s="7">
        <f t="shared" si="421"/>
        <v>0</v>
      </c>
      <c r="I2511" s="20"/>
      <c r="J2511" s="20"/>
      <c r="K2511" s="20"/>
      <c r="L2511" s="20"/>
      <c r="M2511" s="20"/>
      <c r="N2511" s="20"/>
      <c r="O2511" s="20"/>
      <c r="P2511" s="20"/>
      <c r="Q2511" s="20"/>
      <c r="R2511" s="20"/>
      <c r="S2511" s="9">
        <f t="shared" si="424"/>
        <v>22</v>
      </c>
      <c r="T2511" s="10">
        <f t="shared" si="425"/>
        <v>0</v>
      </c>
      <c r="U2511" s="10"/>
    </row>
    <row r="2512" spans="1:21">
      <c r="A2512" s="6"/>
      <c r="B2512" s="11" t="s">
        <v>75</v>
      </c>
      <c r="C2512" s="7" t="s">
        <v>26</v>
      </c>
      <c r="D2512" s="20"/>
      <c r="E2512" s="20"/>
      <c r="F2512" s="7">
        <f t="shared" si="420"/>
        <v>0</v>
      </c>
      <c r="G2512" s="21"/>
      <c r="H2512" s="7">
        <f t="shared" si="421"/>
        <v>0</v>
      </c>
      <c r="I2512" s="20"/>
      <c r="J2512" s="20"/>
      <c r="K2512" s="20"/>
      <c r="L2512" s="20"/>
      <c r="M2512" s="20"/>
      <c r="N2512" s="20"/>
      <c r="O2512" s="20"/>
      <c r="P2512" s="20"/>
      <c r="Q2512" s="20"/>
      <c r="R2512" s="20"/>
      <c r="S2512" s="9">
        <f t="shared" si="424"/>
        <v>0</v>
      </c>
      <c r="T2512" s="10">
        <f t="shared" si="425"/>
        <v>0</v>
      </c>
      <c r="U2512" s="10"/>
    </row>
    <row r="2513" spans="1:21">
      <c r="A2513" s="6"/>
      <c r="B2513" s="11" t="s">
        <v>76</v>
      </c>
      <c r="C2513" s="7" t="s">
        <v>26</v>
      </c>
      <c r="D2513" s="20"/>
      <c r="E2513" s="20"/>
      <c r="F2513" s="7">
        <f t="shared" si="420"/>
        <v>20</v>
      </c>
      <c r="G2513" s="21"/>
      <c r="H2513" s="7">
        <f t="shared" si="421"/>
        <v>0</v>
      </c>
      <c r="I2513" s="20"/>
      <c r="J2513" s="20"/>
      <c r="K2513" s="20"/>
      <c r="L2513" s="20"/>
      <c r="M2513" s="20"/>
      <c r="N2513" s="20"/>
      <c r="O2513" s="20"/>
      <c r="P2513" s="20"/>
      <c r="Q2513" s="20"/>
      <c r="R2513" s="20"/>
      <c r="S2513" s="9">
        <f t="shared" si="424"/>
        <v>20</v>
      </c>
      <c r="T2513" s="10">
        <f t="shared" si="425"/>
        <v>0</v>
      </c>
      <c r="U2513" s="10"/>
    </row>
    <row r="2514" spans="1:21">
      <c r="A2514" s="6"/>
      <c r="B2514" s="11" t="s">
        <v>77</v>
      </c>
      <c r="C2514" s="7" t="s">
        <v>61</v>
      </c>
      <c r="D2514" s="20"/>
      <c r="E2514" s="20"/>
      <c r="F2514" s="7">
        <f t="shared" si="420"/>
        <v>0</v>
      </c>
      <c r="G2514" s="21"/>
      <c r="H2514" s="7">
        <f t="shared" si="421"/>
        <v>0</v>
      </c>
      <c r="I2514" s="20"/>
      <c r="J2514" s="20"/>
      <c r="K2514" s="20"/>
      <c r="L2514" s="20"/>
      <c r="M2514" s="20"/>
      <c r="N2514" s="20"/>
      <c r="O2514" s="20"/>
      <c r="P2514" s="20"/>
      <c r="Q2514" s="20"/>
      <c r="R2514" s="20"/>
      <c r="S2514" s="9">
        <f t="shared" si="424"/>
        <v>0</v>
      </c>
      <c r="T2514" s="10">
        <f t="shared" si="425"/>
        <v>0</v>
      </c>
      <c r="U2514" s="10"/>
    </row>
    <row r="2515" spans="1:21">
      <c r="A2515" s="6"/>
      <c r="B2515" s="11" t="s">
        <v>78</v>
      </c>
      <c r="C2515" s="7" t="s">
        <v>61</v>
      </c>
      <c r="D2515" s="20"/>
      <c r="E2515" s="20"/>
      <c r="F2515" s="7">
        <f t="shared" si="420"/>
        <v>69</v>
      </c>
      <c r="G2515" s="21"/>
      <c r="H2515" s="7">
        <f t="shared" si="421"/>
        <v>0</v>
      </c>
      <c r="I2515" s="20"/>
      <c r="J2515" s="20"/>
      <c r="K2515" s="20"/>
      <c r="L2515" s="20"/>
      <c r="M2515" s="20"/>
      <c r="N2515" s="20"/>
      <c r="O2515" s="20"/>
      <c r="P2515" s="20"/>
      <c r="Q2515" s="20"/>
      <c r="R2515" s="20"/>
      <c r="S2515" s="9">
        <f t="shared" si="424"/>
        <v>69</v>
      </c>
      <c r="T2515" s="10">
        <f t="shared" si="425"/>
        <v>0</v>
      </c>
      <c r="U2515" s="10"/>
    </row>
    <row r="2516" spans="1:21">
      <c r="A2516" s="6"/>
      <c r="B2516" s="11" t="s">
        <v>105</v>
      </c>
      <c r="C2516" s="7" t="s">
        <v>26</v>
      </c>
      <c r="D2516" s="20"/>
      <c r="E2516" s="20"/>
      <c r="F2516" s="7">
        <f t="shared" si="420"/>
        <v>2289</v>
      </c>
      <c r="G2516" s="21"/>
      <c r="H2516" s="7">
        <f t="shared" si="421"/>
        <v>0</v>
      </c>
      <c r="I2516" s="20"/>
      <c r="J2516" s="20"/>
      <c r="K2516" s="20"/>
      <c r="L2516" s="20"/>
      <c r="M2516" s="20"/>
      <c r="N2516" s="20"/>
      <c r="O2516" s="20"/>
      <c r="P2516" s="20"/>
      <c r="Q2516" s="20"/>
      <c r="R2516" s="20"/>
      <c r="S2516" s="9">
        <f t="shared" si="424"/>
        <v>2289</v>
      </c>
      <c r="T2516" s="10">
        <f t="shared" si="425"/>
        <v>0</v>
      </c>
      <c r="U2516" s="10"/>
    </row>
    <row r="2517" spans="1:21">
      <c r="A2517" s="6"/>
      <c r="B2517" s="11" t="s">
        <v>80</v>
      </c>
      <c r="C2517" s="7" t="s">
        <v>26</v>
      </c>
      <c r="D2517" s="20"/>
      <c r="E2517" s="20"/>
      <c r="F2517" s="7">
        <f t="shared" si="420"/>
        <v>511</v>
      </c>
      <c r="G2517" s="21"/>
      <c r="H2517" s="7">
        <f t="shared" si="421"/>
        <v>0</v>
      </c>
      <c r="I2517" s="20"/>
      <c r="J2517" s="20"/>
      <c r="K2517" s="20"/>
      <c r="L2517" s="20"/>
      <c r="M2517" s="20"/>
      <c r="N2517" s="20"/>
      <c r="O2517" s="20"/>
      <c r="P2517" s="20"/>
      <c r="Q2517" s="20"/>
      <c r="R2517" s="20"/>
      <c r="S2517" s="9">
        <f t="shared" si="424"/>
        <v>511</v>
      </c>
      <c r="T2517" s="10">
        <f t="shared" si="425"/>
        <v>0</v>
      </c>
      <c r="U2517" s="10"/>
    </row>
    <row r="2518" spans="1:21">
      <c r="A2518" s="6"/>
      <c r="B2518" s="11" t="s">
        <v>81</v>
      </c>
      <c r="C2518" s="7" t="s">
        <v>26</v>
      </c>
      <c r="D2518" s="20"/>
      <c r="E2518" s="20"/>
      <c r="F2518" s="7">
        <f t="shared" si="420"/>
        <v>0</v>
      </c>
      <c r="G2518" s="21"/>
      <c r="H2518" s="7">
        <f t="shared" si="421"/>
        <v>0</v>
      </c>
      <c r="I2518" s="20"/>
      <c r="J2518" s="20"/>
      <c r="K2518" s="20"/>
      <c r="L2518" s="20"/>
      <c r="M2518" s="20"/>
      <c r="N2518" s="20"/>
      <c r="O2518" s="20"/>
      <c r="P2518" s="20"/>
      <c r="Q2518" s="20"/>
      <c r="R2518" s="20"/>
      <c r="S2518" s="9">
        <f t="shared" si="424"/>
        <v>0</v>
      </c>
      <c r="T2518" s="10">
        <f t="shared" si="425"/>
        <v>0</v>
      </c>
      <c r="U2518" s="10"/>
    </row>
    <row r="2519" spans="1:21">
      <c r="A2519" s="6"/>
      <c r="B2519" s="11" t="s">
        <v>82</v>
      </c>
      <c r="C2519" s="7" t="s">
        <v>26</v>
      </c>
      <c r="D2519" s="20"/>
      <c r="E2519" s="20"/>
      <c r="F2519" s="7">
        <f t="shared" si="420"/>
        <v>14</v>
      </c>
      <c r="G2519" s="21"/>
      <c r="H2519" s="7">
        <f t="shared" si="421"/>
        <v>0</v>
      </c>
      <c r="I2519" s="20"/>
      <c r="J2519" s="20"/>
      <c r="K2519" s="20"/>
      <c r="L2519" s="20"/>
      <c r="M2519" s="20"/>
      <c r="N2519" s="20"/>
      <c r="O2519" s="20"/>
      <c r="P2519" s="20"/>
      <c r="Q2519" s="20"/>
      <c r="R2519" s="20"/>
      <c r="S2519" s="9">
        <f t="shared" si="424"/>
        <v>14</v>
      </c>
      <c r="T2519" s="10">
        <f t="shared" si="425"/>
        <v>0</v>
      </c>
      <c r="U2519" s="10"/>
    </row>
    <row r="2520" spans="1:21">
      <c r="A2520" s="6"/>
      <c r="B2520" s="11" t="s">
        <v>83</v>
      </c>
      <c r="C2520" s="7" t="s">
        <v>26</v>
      </c>
      <c r="D2520" s="20"/>
      <c r="E2520" s="20"/>
      <c r="F2520" s="7">
        <f t="shared" si="420"/>
        <v>0</v>
      </c>
      <c r="G2520" s="21"/>
      <c r="H2520" s="7">
        <f t="shared" si="421"/>
        <v>0</v>
      </c>
      <c r="I2520" s="20"/>
      <c r="J2520" s="20"/>
      <c r="K2520" s="20"/>
      <c r="L2520" s="20"/>
      <c r="M2520" s="20"/>
      <c r="N2520" s="20"/>
      <c r="O2520" s="20"/>
      <c r="P2520" s="20"/>
      <c r="Q2520" s="20"/>
      <c r="R2520" s="20"/>
      <c r="S2520" s="9">
        <f t="shared" si="424"/>
        <v>0</v>
      </c>
      <c r="T2520" s="10">
        <f t="shared" si="425"/>
        <v>0</v>
      </c>
      <c r="U2520" s="10"/>
    </row>
    <row r="2521" spans="1:21">
      <c r="A2521" s="6"/>
      <c r="B2521" s="11" t="s">
        <v>84</v>
      </c>
      <c r="C2521" s="7" t="s">
        <v>26</v>
      </c>
      <c r="D2521" s="20"/>
      <c r="E2521" s="20"/>
      <c r="F2521" s="7">
        <f t="shared" si="420"/>
        <v>28</v>
      </c>
      <c r="G2521" s="21"/>
      <c r="H2521" s="7">
        <f t="shared" si="421"/>
        <v>0</v>
      </c>
      <c r="I2521" s="20"/>
      <c r="J2521" s="20"/>
      <c r="K2521" s="20"/>
      <c r="L2521" s="20"/>
      <c r="M2521" s="20"/>
      <c r="N2521" s="20"/>
      <c r="O2521" s="20"/>
      <c r="P2521" s="20"/>
      <c r="Q2521" s="20"/>
      <c r="R2521" s="20"/>
      <c r="S2521" s="9">
        <f t="shared" si="424"/>
        <v>28</v>
      </c>
      <c r="T2521" s="10">
        <f t="shared" si="425"/>
        <v>0</v>
      </c>
      <c r="U2521" s="10"/>
    </row>
    <row r="2522" spans="1:21">
      <c r="A2522" s="6"/>
      <c r="B2522" s="11" t="s">
        <v>85</v>
      </c>
      <c r="C2522" s="7" t="s">
        <v>61</v>
      </c>
      <c r="D2522" s="20"/>
      <c r="E2522" s="20"/>
      <c r="F2522" s="7">
        <f t="shared" si="420"/>
        <v>0</v>
      </c>
      <c r="G2522" s="21"/>
      <c r="H2522" s="7">
        <f t="shared" si="421"/>
        <v>0</v>
      </c>
      <c r="I2522" s="20"/>
      <c r="J2522" s="20"/>
      <c r="K2522" s="20"/>
      <c r="L2522" s="20"/>
      <c r="M2522" s="20"/>
      <c r="N2522" s="20"/>
      <c r="O2522" s="20"/>
      <c r="P2522" s="20"/>
      <c r="Q2522" s="20"/>
      <c r="R2522" s="20"/>
      <c r="S2522" s="9">
        <f t="shared" si="424"/>
        <v>0</v>
      </c>
      <c r="T2522" s="10">
        <f t="shared" si="425"/>
        <v>0</v>
      </c>
      <c r="U2522" s="10"/>
    </row>
    <row r="2523" spans="1:21">
      <c r="A2523" s="6"/>
      <c r="B2523" s="11" t="s">
        <v>86</v>
      </c>
      <c r="C2523" s="7" t="s">
        <v>61</v>
      </c>
      <c r="D2523" s="20"/>
      <c r="E2523" s="20"/>
      <c r="F2523" s="7">
        <f t="shared" si="420"/>
        <v>10</v>
      </c>
      <c r="G2523" s="21"/>
      <c r="H2523" s="7">
        <f t="shared" si="421"/>
        <v>0</v>
      </c>
      <c r="I2523" s="20"/>
      <c r="J2523" s="20"/>
      <c r="K2523" s="20"/>
      <c r="L2523" s="20"/>
      <c r="M2523" s="20"/>
      <c r="N2523" s="20"/>
      <c r="O2523" s="20"/>
      <c r="P2523" s="20"/>
      <c r="Q2523" s="20"/>
      <c r="R2523" s="20"/>
      <c r="S2523" s="9">
        <f t="shared" si="424"/>
        <v>10</v>
      </c>
      <c r="T2523" s="10">
        <f t="shared" si="425"/>
        <v>0</v>
      </c>
      <c r="U2523" s="10"/>
    </row>
    <row r="2524" spans="1:21">
      <c r="A2524" s="6"/>
      <c r="B2524" s="11" t="s">
        <v>87</v>
      </c>
      <c r="C2524" s="7" t="s">
        <v>26</v>
      </c>
      <c r="D2524" s="20"/>
      <c r="E2524" s="20"/>
      <c r="F2524" s="7">
        <f t="shared" si="420"/>
        <v>0</v>
      </c>
      <c r="G2524" s="21"/>
      <c r="H2524" s="7">
        <f t="shared" si="421"/>
        <v>0</v>
      </c>
      <c r="I2524" s="20"/>
      <c r="J2524" s="20"/>
      <c r="K2524" s="20"/>
      <c r="L2524" s="20"/>
      <c r="M2524" s="20"/>
      <c r="N2524" s="20"/>
      <c r="O2524" s="20"/>
      <c r="P2524" s="20"/>
      <c r="Q2524" s="20"/>
      <c r="R2524" s="20"/>
      <c r="S2524" s="9">
        <f t="shared" si="424"/>
        <v>0</v>
      </c>
      <c r="T2524" s="10">
        <f t="shared" si="425"/>
        <v>0</v>
      </c>
      <c r="U2524" s="10"/>
    </row>
    <row r="2525" spans="1:21">
      <c r="A2525" s="6"/>
      <c r="B2525" s="11" t="s">
        <v>88</v>
      </c>
      <c r="C2525" s="20"/>
      <c r="D2525" s="20"/>
      <c r="E2525" s="20"/>
      <c r="F2525" s="7">
        <f t="shared" si="420"/>
        <v>7</v>
      </c>
      <c r="G2525" s="21"/>
      <c r="H2525" s="7">
        <f t="shared" si="421"/>
        <v>0</v>
      </c>
      <c r="I2525" s="20"/>
      <c r="J2525" s="20"/>
      <c r="K2525" s="20"/>
      <c r="L2525" s="20"/>
      <c r="M2525" s="20"/>
      <c r="N2525" s="20"/>
      <c r="O2525" s="20"/>
      <c r="P2525" s="20"/>
      <c r="Q2525" s="20"/>
      <c r="R2525" s="20"/>
      <c r="S2525" s="9">
        <f t="shared" si="424"/>
        <v>7</v>
      </c>
      <c r="T2525" s="10">
        <f t="shared" si="425"/>
        <v>0</v>
      </c>
      <c r="U2525" s="10"/>
    </row>
    <row r="2526" spans="1:21">
      <c r="A2526" s="6"/>
      <c r="B2526" s="11" t="s">
        <v>89</v>
      </c>
      <c r="C2526" s="7" t="s">
        <v>26</v>
      </c>
      <c r="D2526" s="20"/>
      <c r="E2526" s="20"/>
      <c r="F2526" s="7">
        <f t="shared" si="420"/>
        <v>858</v>
      </c>
      <c r="G2526" s="21"/>
      <c r="H2526" s="7">
        <f t="shared" si="421"/>
        <v>0</v>
      </c>
      <c r="I2526" s="20"/>
      <c r="J2526" s="20"/>
      <c r="K2526" s="20"/>
      <c r="L2526" s="20"/>
      <c r="M2526" s="20"/>
      <c r="N2526" s="20"/>
      <c r="O2526" s="20"/>
      <c r="P2526" s="20"/>
      <c r="Q2526" s="20"/>
      <c r="R2526" s="20"/>
      <c r="S2526" s="9">
        <f t="shared" si="424"/>
        <v>858</v>
      </c>
      <c r="T2526" s="10">
        <f t="shared" si="425"/>
        <v>0</v>
      </c>
      <c r="U2526" s="10"/>
    </row>
    <row r="2527" spans="1:21">
      <c r="A2527" s="6"/>
      <c r="B2527" s="11" t="s">
        <v>90</v>
      </c>
      <c r="C2527" s="7" t="s">
        <v>26</v>
      </c>
      <c r="D2527" s="20"/>
      <c r="E2527" s="20"/>
      <c r="F2527" s="7">
        <f t="shared" si="420"/>
        <v>0</v>
      </c>
      <c r="G2527" s="21"/>
      <c r="H2527" s="7">
        <f t="shared" si="421"/>
        <v>0</v>
      </c>
      <c r="I2527" s="20"/>
      <c r="J2527" s="20"/>
      <c r="K2527" s="20"/>
      <c r="L2527" s="20"/>
      <c r="M2527" s="20"/>
      <c r="N2527" s="20"/>
      <c r="O2527" s="20"/>
      <c r="P2527" s="20"/>
      <c r="Q2527" s="20"/>
      <c r="R2527" s="20"/>
      <c r="S2527" s="9">
        <f t="shared" si="424"/>
        <v>0</v>
      </c>
      <c r="T2527" s="10">
        <f t="shared" si="425"/>
        <v>0</v>
      </c>
      <c r="U2527" s="10"/>
    </row>
    <row r="2528" spans="1:21">
      <c r="A2528" s="6"/>
      <c r="B2528" s="11" t="s">
        <v>91</v>
      </c>
      <c r="C2528" s="7" t="s">
        <v>26</v>
      </c>
      <c r="D2528" s="20"/>
      <c r="E2528" s="20"/>
      <c r="F2528" s="7">
        <f t="shared" si="420"/>
        <v>138</v>
      </c>
      <c r="G2528" s="21"/>
      <c r="H2528" s="7">
        <f t="shared" si="421"/>
        <v>0</v>
      </c>
      <c r="I2528" s="20"/>
      <c r="J2528" s="20"/>
      <c r="K2528" s="20"/>
      <c r="L2528" s="20"/>
      <c r="M2528" s="20"/>
      <c r="N2528" s="20"/>
      <c r="O2528" s="20"/>
      <c r="P2528" s="20"/>
      <c r="Q2528" s="20"/>
      <c r="R2528" s="20"/>
      <c r="S2528" s="9">
        <f t="shared" si="424"/>
        <v>138</v>
      </c>
      <c r="T2528" s="10">
        <f t="shared" si="425"/>
        <v>0</v>
      </c>
      <c r="U2528" s="10"/>
    </row>
    <row r="2529" spans="1:21">
      <c r="A2529" s="6"/>
      <c r="B2529" s="12" t="s">
        <v>92</v>
      </c>
      <c r="C2529" s="13" t="s">
        <v>26</v>
      </c>
      <c r="D2529" s="20"/>
      <c r="E2529" s="20"/>
      <c r="F2529" s="7">
        <f t="shared" si="420"/>
        <v>1106</v>
      </c>
      <c r="G2529" s="21"/>
      <c r="H2529" s="7">
        <f t="shared" si="421"/>
        <v>0</v>
      </c>
      <c r="I2529" s="20"/>
      <c r="J2529" s="20"/>
      <c r="K2529" s="20"/>
      <c r="L2529" s="20"/>
      <c r="M2529" s="20"/>
      <c r="N2529" s="20"/>
      <c r="O2529" s="20"/>
      <c r="P2529" s="20"/>
      <c r="Q2529" s="20"/>
      <c r="R2529" s="20"/>
      <c r="S2529" s="9">
        <f t="shared" si="424"/>
        <v>1106</v>
      </c>
      <c r="T2529" s="10">
        <f t="shared" si="425"/>
        <v>0</v>
      </c>
      <c r="U2529" s="10"/>
    </row>
    <row r="2530" spans="1:21">
      <c r="A2530" s="6"/>
      <c r="B2530" s="12" t="s">
        <v>93</v>
      </c>
      <c r="C2530" s="13" t="s">
        <v>26</v>
      </c>
      <c r="D2530" s="20"/>
      <c r="E2530" s="20"/>
      <c r="F2530" s="7">
        <f t="shared" si="420"/>
        <v>1937</v>
      </c>
      <c r="G2530" s="21"/>
      <c r="H2530" s="7">
        <f t="shared" si="421"/>
        <v>0</v>
      </c>
      <c r="I2530" s="20"/>
      <c r="J2530" s="20"/>
      <c r="K2530" s="20"/>
      <c r="L2530" s="20"/>
      <c r="M2530" s="20"/>
      <c r="N2530" s="20"/>
      <c r="O2530" s="20"/>
      <c r="P2530" s="20"/>
      <c r="Q2530" s="20"/>
      <c r="R2530" s="20"/>
      <c r="S2530" s="9">
        <f t="shared" si="424"/>
        <v>1937</v>
      </c>
      <c r="T2530" s="10">
        <f t="shared" si="425"/>
        <v>0</v>
      </c>
      <c r="U2530" s="10"/>
    </row>
    <row r="2531" spans="1:21">
      <c r="A2531" s="6"/>
      <c r="B2531" s="11" t="s">
        <v>94</v>
      </c>
      <c r="C2531" s="7" t="s">
        <v>41</v>
      </c>
      <c r="D2531" s="20"/>
      <c r="E2531" s="20"/>
      <c r="F2531" s="7">
        <f t="shared" ref="F2531:F2590" si="426">S2446</f>
        <v>0</v>
      </c>
      <c r="G2531" s="21"/>
      <c r="H2531" s="7">
        <f t="shared" si="421"/>
        <v>0</v>
      </c>
      <c r="I2531" s="20"/>
      <c r="J2531" s="20"/>
      <c r="K2531" s="20"/>
      <c r="L2531" s="20"/>
      <c r="M2531" s="20"/>
      <c r="N2531" s="20"/>
      <c r="O2531" s="20"/>
      <c r="P2531" s="20"/>
      <c r="Q2531" s="20"/>
      <c r="R2531" s="20"/>
      <c r="S2531" s="9">
        <f t="shared" si="424"/>
        <v>0</v>
      </c>
      <c r="T2531" s="10">
        <f t="shared" si="425"/>
        <v>0</v>
      </c>
      <c r="U2531" s="10"/>
    </row>
    <row r="2532" spans="1:21">
      <c r="A2532" s="6"/>
      <c r="B2532" s="11" t="s">
        <v>95</v>
      </c>
      <c r="C2532" s="7" t="s">
        <v>41</v>
      </c>
      <c r="D2532" s="20"/>
      <c r="E2532" s="20"/>
      <c r="F2532" s="7">
        <f t="shared" si="426"/>
        <v>39</v>
      </c>
      <c r="G2532" s="21"/>
      <c r="H2532" s="7">
        <f t="shared" si="421"/>
        <v>0</v>
      </c>
      <c r="I2532" s="20"/>
      <c r="J2532" s="20"/>
      <c r="K2532" s="20"/>
      <c r="L2532" s="20"/>
      <c r="M2532" s="20"/>
      <c r="N2532" s="20"/>
      <c r="O2532" s="20"/>
      <c r="P2532" s="20"/>
      <c r="Q2532" s="20"/>
      <c r="R2532" s="20"/>
      <c r="S2532" s="9">
        <f t="shared" si="424"/>
        <v>39</v>
      </c>
      <c r="T2532" s="10">
        <f t="shared" si="425"/>
        <v>0</v>
      </c>
      <c r="U2532" s="10"/>
    </row>
    <row r="2533" spans="1:21">
      <c r="A2533" s="6"/>
      <c r="B2533" s="11" t="s">
        <v>96</v>
      </c>
      <c r="C2533" s="7" t="s">
        <v>41</v>
      </c>
      <c r="D2533" s="20"/>
      <c r="E2533" s="20"/>
      <c r="F2533" s="7">
        <f t="shared" si="426"/>
        <v>0</v>
      </c>
      <c r="G2533" s="21"/>
      <c r="H2533" s="7">
        <f t="shared" si="421"/>
        <v>0</v>
      </c>
      <c r="I2533" s="20"/>
      <c r="J2533" s="20"/>
      <c r="K2533" s="20"/>
      <c r="L2533" s="20"/>
      <c r="M2533" s="20"/>
      <c r="N2533" s="20"/>
      <c r="O2533" s="20"/>
      <c r="P2533" s="20"/>
      <c r="Q2533" s="20"/>
      <c r="R2533" s="20"/>
      <c r="S2533" s="9">
        <f t="shared" si="424"/>
        <v>0</v>
      </c>
      <c r="T2533" s="10">
        <f t="shared" si="425"/>
        <v>0</v>
      </c>
      <c r="U2533" s="10"/>
    </row>
    <row r="2534" spans="1:21">
      <c r="A2534" s="6"/>
      <c r="B2534" s="11" t="s">
        <v>97</v>
      </c>
      <c r="C2534" s="7" t="s">
        <v>41</v>
      </c>
      <c r="D2534" s="20"/>
      <c r="E2534" s="20"/>
      <c r="F2534" s="7">
        <f t="shared" si="426"/>
        <v>0</v>
      </c>
      <c r="G2534" s="21"/>
      <c r="H2534" s="7">
        <f t="shared" si="421"/>
        <v>0</v>
      </c>
      <c r="I2534" s="20"/>
      <c r="J2534" s="20"/>
      <c r="K2534" s="20"/>
      <c r="L2534" s="20"/>
      <c r="M2534" s="20"/>
      <c r="N2534" s="20"/>
      <c r="O2534" s="20"/>
      <c r="P2534" s="20"/>
      <c r="Q2534" s="20"/>
      <c r="R2534" s="20"/>
      <c r="S2534" s="9">
        <f t="shared" si="424"/>
        <v>0</v>
      </c>
      <c r="T2534" s="10">
        <f t="shared" si="425"/>
        <v>0</v>
      </c>
      <c r="U2534" s="10"/>
    </row>
    <row r="2535" spans="1:21">
      <c r="A2535" s="6"/>
      <c r="B2535" s="11" t="s">
        <v>98</v>
      </c>
      <c r="C2535" s="7" t="s">
        <v>26</v>
      </c>
      <c r="D2535" s="20"/>
      <c r="E2535" s="20"/>
      <c r="F2535" s="7">
        <f t="shared" si="426"/>
        <v>999</v>
      </c>
      <c r="G2535" s="21"/>
      <c r="H2535" s="7">
        <f t="shared" si="421"/>
        <v>0</v>
      </c>
      <c r="I2535" s="20"/>
      <c r="J2535" s="20"/>
      <c r="K2535" s="20"/>
      <c r="L2535" s="20"/>
      <c r="M2535" s="20"/>
      <c r="N2535" s="20"/>
      <c r="O2535" s="20"/>
      <c r="P2535" s="20"/>
      <c r="Q2535" s="20"/>
      <c r="R2535" s="20"/>
      <c r="S2535" s="9">
        <f t="shared" si="424"/>
        <v>999</v>
      </c>
      <c r="T2535" s="10">
        <f t="shared" si="425"/>
        <v>0</v>
      </c>
      <c r="U2535" s="10"/>
    </row>
    <row r="2536" spans="1:21">
      <c r="A2536" s="6"/>
      <c r="B2536" s="11" t="s">
        <v>99</v>
      </c>
      <c r="C2536" s="7" t="s">
        <v>26</v>
      </c>
      <c r="D2536" s="20"/>
      <c r="E2536" s="20"/>
      <c r="F2536" s="7">
        <f t="shared" si="426"/>
        <v>267</v>
      </c>
      <c r="G2536" s="21"/>
      <c r="H2536" s="7">
        <f t="shared" si="421"/>
        <v>0</v>
      </c>
      <c r="I2536" s="20"/>
      <c r="J2536" s="20"/>
      <c r="K2536" s="20"/>
      <c r="L2536" s="20"/>
      <c r="M2536" s="20"/>
      <c r="N2536" s="20"/>
      <c r="O2536" s="20"/>
      <c r="P2536" s="20"/>
      <c r="Q2536" s="20"/>
      <c r="R2536" s="20"/>
      <c r="S2536" s="9">
        <f t="shared" si="424"/>
        <v>267</v>
      </c>
      <c r="T2536" s="10">
        <f t="shared" si="425"/>
        <v>0</v>
      </c>
      <c r="U2536" s="10"/>
    </row>
    <row r="2537" spans="1:21">
      <c r="A2537" s="6"/>
      <c r="B2537" s="11" t="s">
        <v>100</v>
      </c>
      <c r="C2537" s="7" t="s">
        <v>26</v>
      </c>
      <c r="D2537" s="20"/>
      <c r="E2537" s="20"/>
      <c r="F2537" s="7">
        <f t="shared" si="426"/>
        <v>510</v>
      </c>
      <c r="G2537" s="21"/>
      <c r="H2537" s="7">
        <f t="shared" si="421"/>
        <v>0</v>
      </c>
      <c r="I2537" s="20"/>
      <c r="J2537" s="20"/>
      <c r="K2537" s="20"/>
      <c r="L2537" s="20"/>
      <c r="M2537" s="20"/>
      <c r="N2537" s="20"/>
      <c r="O2537" s="20"/>
      <c r="P2537" s="20"/>
      <c r="Q2537" s="20"/>
      <c r="R2537" s="20"/>
      <c r="S2537" s="9">
        <f t="shared" si="424"/>
        <v>510</v>
      </c>
      <c r="T2537" s="10">
        <f t="shared" si="425"/>
        <v>0</v>
      </c>
      <c r="U2537" s="10"/>
    </row>
    <row r="2538" spans="1:21">
      <c r="A2538" s="6"/>
      <c r="B2538" s="11" t="s">
        <v>101</v>
      </c>
      <c r="C2538" s="7" t="s">
        <v>26</v>
      </c>
      <c r="D2538" s="20"/>
      <c r="E2538" s="20"/>
      <c r="F2538" s="7">
        <f t="shared" si="426"/>
        <v>231</v>
      </c>
      <c r="G2538" s="21"/>
      <c r="H2538" s="7">
        <f t="shared" si="421"/>
        <v>0</v>
      </c>
      <c r="I2538" s="20"/>
      <c r="J2538" s="20"/>
      <c r="K2538" s="20"/>
      <c r="L2538" s="20"/>
      <c r="M2538" s="20"/>
      <c r="N2538" s="20"/>
      <c r="O2538" s="20"/>
      <c r="P2538" s="20"/>
      <c r="Q2538" s="20"/>
      <c r="R2538" s="20"/>
      <c r="S2538" s="9">
        <f t="shared" si="424"/>
        <v>231</v>
      </c>
      <c r="T2538" s="10">
        <f t="shared" si="425"/>
        <v>0</v>
      </c>
      <c r="U2538" s="10"/>
    </row>
    <row r="2539" spans="1:21">
      <c r="A2539" s="6"/>
      <c r="B2539" s="11" t="s">
        <v>102</v>
      </c>
      <c r="C2539" s="7" t="s">
        <v>26</v>
      </c>
      <c r="D2539" s="20"/>
      <c r="E2539" s="20"/>
      <c r="F2539" s="7">
        <f t="shared" si="426"/>
        <v>949</v>
      </c>
      <c r="G2539" s="21"/>
      <c r="H2539" s="7">
        <f t="shared" si="421"/>
        <v>0</v>
      </c>
      <c r="I2539" s="20"/>
      <c r="J2539" s="20"/>
      <c r="K2539" s="20"/>
      <c r="L2539" s="20"/>
      <c r="M2539" s="20"/>
      <c r="N2539" s="20"/>
      <c r="O2539" s="20"/>
      <c r="P2539" s="20"/>
      <c r="Q2539" s="20"/>
      <c r="R2539" s="20"/>
      <c r="S2539" s="9">
        <f t="shared" si="424"/>
        <v>949</v>
      </c>
      <c r="T2539" s="10">
        <f t="shared" si="425"/>
        <v>0</v>
      </c>
      <c r="U2539" s="10"/>
    </row>
    <row r="2540" spans="1:21">
      <c r="A2540" s="6"/>
      <c r="B2540" s="11" t="s">
        <v>103</v>
      </c>
      <c r="C2540" s="7" t="s">
        <v>26</v>
      </c>
      <c r="D2540" s="20"/>
      <c r="E2540" s="20"/>
      <c r="F2540" s="7">
        <f t="shared" si="426"/>
        <v>632</v>
      </c>
      <c r="G2540" s="21"/>
      <c r="H2540" s="7">
        <f t="shared" si="421"/>
        <v>0</v>
      </c>
      <c r="I2540" s="20"/>
      <c r="J2540" s="20"/>
      <c r="K2540" s="20"/>
      <c r="L2540" s="20"/>
      <c r="M2540" s="20"/>
      <c r="N2540" s="20"/>
      <c r="O2540" s="20"/>
      <c r="P2540" s="20"/>
      <c r="Q2540" s="20"/>
      <c r="R2540" s="20"/>
      <c r="S2540" s="9">
        <f t="shared" si="424"/>
        <v>632</v>
      </c>
      <c r="T2540" s="10">
        <f t="shared" si="425"/>
        <v>0</v>
      </c>
      <c r="U2540" s="10"/>
    </row>
    <row r="2541" spans="1:21">
      <c r="A2541" s="6"/>
      <c r="B2541" s="11" t="s">
        <v>112</v>
      </c>
      <c r="C2541" s="7" t="s">
        <v>113</v>
      </c>
      <c r="D2541" s="20"/>
      <c r="E2541" s="20"/>
      <c r="F2541" s="7">
        <f t="shared" si="426"/>
        <v>840</v>
      </c>
      <c r="G2541" s="21"/>
      <c r="H2541" s="7">
        <f t="shared" ref="H2541:H2561" si="427">T2456</f>
        <v>0</v>
      </c>
      <c r="I2541" s="20"/>
      <c r="J2541" s="20"/>
      <c r="K2541" s="20"/>
      <c r="L2541" s="20"/>
      <c r="M2541" s="20"/>
      <c r="N2541" s="20"/>
      <c r="O2541" s="20"/>
      <c r="P2541" s="20"/>
      <c r="Q2541" s="20"/>
      <c r="R2541" s="20"/>
      <c r="S2541" s="9">
        <f t="shared" si="424"/>
        <v>840</v>
      </c>
      <c r="T2541" s="10">
        <f t="shared" si="425"/>
        <v>0</v>
      </c>
      <c r="U2541" s="10"/>
    </row>
    <row r="2542" spans="1:21">
      <c r="A2542" s="6"/>
      <c r="B2542" s="11"/>
      <c r="C2542" s="20"/>
      <c r="D2542" s="20"/>
      <c r="E2542" s="20"/>
      <c r="F2542" s="7">
        <f t="shared" si="426"/>
        <v>0</v>
      </c>
      <c r="G2542" s="21"/>
      <c r="H2542" s="7">
        <f t="shared" si="427"/>
        <v>0</v>
      </c>
      <c r="I2542" s="20"/>
      <c r="J2542" s="20"/>
      <c r="K2542" s="20"/>
      <c r="L2542" s="20"/>
      <c r="M2542" s="20"/>
      <c r="N2542" s="20"/>
      <c r="O2542" s="20"/>
      <c r="P2542" s="20"/>
      <c r="Q2542" s="20"/>
      <c r="R2542" s="20"/>
      <c r="S2542" s="9">
        <f t="shared" si="424"/>
        <v>0</v>
      </c>
      <c r="T2542" s="10">
        <f t="shared" si="425"/>
        <v>0</v>
      </c>
      <c r="U2542" s="10"/>
    </row>
    <row r="2543" spans="1:21">
      <c r="A2543" s="6"/>
      <c r="B2543" s="11"/>
      <c r="C2543" s="20"/>
      <c r="D2543" s="20"/>
      <c r="E2543" s="20"/>
      <c r="F2543" s="7">
        <f t="shared" si="426"/>
        <v>0</v>
      </c>
      <c r="G2543" s="21"/>
      <c r="H2543" s="7">
        <f t="shared" si="427"/>
        <v>0</v>
      </c>
      <c r="I2543" s="20"/>
      <c r="J2543" s="20"/>
      <c r="K2543" s="20"/>
      <c r="L2543" s="20"/>
      <c r="M2543" s="20"/>
      <c r="N2543" s="20"/>
      <c r="O2543" s="20"/>
      <c r="P2543" s="20"/>
      <c r="Q2543" s="20"/>
      <c r="R2543" s="20"/>
      <c r="S2543" s="9">
        <f t="shared" si="424"/>
        <v>0</v>
      </c>
      <c r="T2543" s="10">
        <f t="shared" si="425"/>
        <v>0</v>
      </c>
      <c r="U2543" s="10"/>
    </row>
    <row r="2544" spans="1:21">
      <c r="A2544" s="6"/>
      <c r="B2544" s="11"/>
      <c r="C2544" s="20"/>
      <c r="D2544" s="20"/>
      <c r="E2544" s="20"/>
      <c r="F2544" s="7">
        <f t="shared" si="426"/>
        <v>0</v>
      </c>
      <c r="G2544" s="21"/>
      <c r="H2544" s="7">
        <f t="shared" si="427"/>
        <v>0</v>
      </c>
      <c r="I2544" s="20"/>
      <c r="J2544" s="20"/>
      <c r="K2544" s="20"/>
      <c r="L2544" s="20"/>
      <c r="M2544" s="20"/>
      <c r="N2544" s="20"/>
      <c r="O2544" s="20"/>
      <c r="P2544" s="20"/>
      <c r="Q2544" s="20"/>
      <c r="R2544" s="20"/>
      <c r="S2544" s="9">
        <f t="shared" si="424"/>
        <v>0</v>
      </c>
      <c r="T2544" s="10">
        <f t="shared" si="425"/>
        <v>0</v>
      </c>
      <c r="U2544" s="10"/>
    </row>
    <row r="2545" spans="1:25">
      <c r="A2545" s="6"/>
      <c r="B2545" s="11"/>
      <c r="C2545" s="20"/>
      <c r="D2545" s="20"/>
      <c r="E2545" s="20"/>
      <c r="F2545" s="7">
        <f t="shared" si="426"/>
        <v>0</v>
      </c>
      <c r="G2545" s="21"/>
      <c r="H2545" s="7">
        <f t="shared" si="427"/>
        <v>0</v>
      </c>
      <c r="I2545" s="20"/>
      <c r="J2545" s="20"/>
      <c r="K2545" s="20"/>
      <c r="L2545" s="20"/>
      <c r="M2545" s="20"/>
      <c r="N2545" s="20"/>
      <c r="O2545" s="20"/>
      <c r="P2545" s="20"/>
      <c r="Q2545" s="20"/>
      <c r="R2545" s="20"/>
      <c r="S2545" s="9">
        <f t="shared" si="424"/>
        <v>0</v>
      </c>
      <c r="T2545" s="10">
        <f t="shared" si="425"/>
        <v>0</v>
      </c>
      <c r="U2545" s="10"/>
    </row>
    <row r="2546" spans="1:25">
      <c r="A2546" s="6"/>
      <c r="B2546" s="11"/>
      <c r="C2546" s="20"/>
      <c r="D2546" s="20"/>
      <c r="E2546" s="20"/>
      <c r="F2546" s="7">
        <f t="shared" si="426"/>
        <v>0</v>
      </c>
      <c r="G2546" s="21"/>
      <c r="H2546" s="7">
        <f t="shared" si="427"/>
        <v>0</v>
      </c>
      <c r="I2546" s="20"/>
      <c r="J2546" s="20"/>
      <c r="K2546" s="20"/>
      <c r="L2546" s="20"/>
      <c r="M2546" s="20"/>
      <c r="N2546" s="20"/>
      <c r="O2546" s="20"/>
      <c r="P2546" s="20"/>
      <c r="Q2546" s="20"/>
      <c r="R2546" s="20"/>
      <c r="S2546" s="9">
        <f t="shared" si="424"/>
        <v>0</v>
      </c>
      <c r="T2546" s="10">
        <f t="shared" si="425"/>
        <v>0</v>
      </c>
      <c r="U2546" s="10"/>
    </row>
    <row r="2547" spans="1:25">
      <c r="A2547" s="6"/>
      <c r="B2547" s="11"/>
      <c r="C2547" s="20"/>
      <c r="D2547" s="20"/>
      <c r="E2547" s="20"/>
      <c r="F2547" s="7">
        <f t="shared" si="426"/>
        <v>0</v>
      </c>
      <c r="G2547" s="21"/>
      <c r="H2547" s="7">
        <f t="shared" si="427"/>
        <v>0</v>
      </c>
      <c r="I2547" s="20"/>
      <c r="J2547" s="20"/>
      <c r="K2547" s="20"/>
      <c r="L2547" s="20"/>
      <c r="M2547" s="20"/>
      <c r="N2547" s="20"/>
      <c r="O2547" s="20"/>
      <c r="P2547" s="20"/>
      <c r="Q2547" s="20"/>
      <c r="R2547" s="20"/>
      <c r="S2547" s="9">
        <f t="shared" si="424"/>
        <v>0</v>
      </c>
      <c r="T2547" s="10">
        <f t="shared" si="425"/>
        <v>0</v>
      </c>
      <c r="U2547" s="10"/>
    </row>
    <row r="2548" spans="1:25">
      <c r="A2548" s="6"/>
      <c r="B2548" s="11"/>
      <c r="C2548" s="20"/>
      <c r="D2548" s="20"/>
      <c r="E2548" s="20"/>
      <c r="F2548" s="7">
        <f t="shared" si="426"/>
        <v>0</v>
      </c>
      <c r="G2548" s="21"/>
      <c r="H2548" s="7">
        <f t="shared" si="427"/>
        <v>0</v>
      </c>
      <c r="I2548" s="20"/>
      <c r="J2548" s="20"/>
      <c r="K2548" s="20"/>
      <c r="L2548" s="20"/>
      <c r="M2548" s="20"/>
      <c r="N2548" s="20"/>
      <c r="O2548" s="20"/>
      <c r="P2548" s="20"/>
      <c r="Q2548" s="20"/>
      <c r="R2548" s="20"/>
      <c r="S2548" s="9">
        <f t="shared" si="424"/>
        <v>0</v>
      </c>
      <c r="T2548" s="10">
        <f t="shared" si="425"/>
        <v>0</v>
      </c>
      <c r="U2548" s="10"/>
    </row>
    <row r="2549" spans="1:25">
      <c r="A2549" s="6"/>
      <c r="B2549" s="11"/>
      <c r="C2549" s="20"/>
      <c r="D2549" s="20"/>
      <c r="E2549" s="20"/>
      <c r="F2549" s="7">
        <f t="shared" si="426"/>
        <v>0</v>
      </c>
      <c r="G2549" s="21"/>
      <c r="H2549" s="7">
        <f t="shared" si="427"/>
        <v>0</v>
      </c>
      <c r="I2549" s="20"/>
      <c r="J2549" s="20"/>
      <c r="K2549" s="20"/>
      <c r="L2549" s="20"/>
      <c r="M2549" s="20"/>
      <c r="N2549" s="20"/>
      <c r="O2549" s="20"/>
      <c r="P2549" s="20"/>
      <c r="Q2549" s="20"/>
      <c r="R2549" s="20"/>
      <c r="S2549" s="9">
        <f t="shared" si="424"/>
        <v>0</v>
      </c>
      <c r="T2549" s="10">
        <f t="shared" si="425"/>
        <v>0</v>
      </c>
      <c r="U2549" s="10"/>
    </row>
    <row r="2550" spans="1:25">
      <c r="A2550" s="6"/>
      <c r="B2550" s="11"/>
      <c r="C2550" s="20"/>
      <c r="D2550" s="20"/>
      <c r="E2550" s="20"/>
      <c r="F2550" s="7">
        <f t="shared" si="426"/>
        <v>0</v>
      </c>
      <c r="G2550" s="21"/>
      <c r="H2550" s="7">
        <f t="shared" si="427"/>
        <v>0</v>
      </c>
      <c r="I2550" s="20"/>
      <c r="J2550" s="20"/>
      <c r="K2550" s="20"/>
      <c r="L2550" s="20"/>
      <c r="M2550" s="20"/>
      <c r="N2550" s="20"/>
      <c r="O2550" s="20"/>
      <c r="P2550" s="20"/>
      <c r="Q2550" s="20"/>
      <c r="R2550" s="20"/>
      <c r="S2550" s="9">
        <f t="shared" si="424"/>
        <v>0</v>
      </c>
      <c r="T2550" s="10">
        <f t="shared" si="425"/>
        <v>0</v>
      </c>
      <c r="U2550" s="10"/>
    </row>
    <row r="2551" spans="1:25">
      <c r="A2551" s="6"/>
      <c r="B2551" s="11"/>
      <c r="C2551" s="20"/>
      <c r="D2551" s="20"/>
      <c r="E2551" s="20"/>
      <c r="F2551" s="7">
        <f t="shared" si="426"/>
        <v>0</v>
      </c>
      <c r="G2551" s="21"/>
      <c r="H2551" s="7">
        <f t="shared" si="427"/>
        <v>0</v>
      </c>
      <c r="I2551" s="20"/>
      <c r="J2551" s="20"/>
      <c r="K2551" s="20"/>
      <c r="L2551" s="20"/>
      <c r="M2551" s="20"/>
      <c r="N2551" s="20"/>
      <c r="O2551" s="20"/>
      <c r="P2551" s="20"/>
      <c r="Q2551" s="20"/>
      <c r="R2551" s="20"/>
      <c r="S2551" s="9">
        <f t="shared" si="424"/>
        <v>0</v>
      </c>
      <c r="T2551" s="10">
        <f t="shared" si="425"/>
        <v>0</v>
      </c>
      <c r="U2551" s="10"/>
      <c r="V2551">
        <f>X2551*0.1</f>
        <v>0</v>
      </c>
      <c r="W2551">
        <f>E2551*S2551*1.5</f>
        <v>0</v>
      </c>
      <c r="X2551">
        <f>J2551+K2551</f>
        <v>0</v>
      </c>
      <c r="Y2551">
        <f>X2551*0.13</f>
        <v>0</v>
      </c>
    </row>
    <row r="2552" spans="1:25">
      <c r="A2552" s="6">
        <v>46173</v>
      </c>
      <c r="B2552" t="s">
        <v>25</v>
      </c>
      <c r="C2552" s="7" t="s">
        <v>26</v>
      </c>
      <c r="D2552" s="10"/>
      <c r="E2552" s="10"/>
      <c r="F2552" s="7">
        <f t="shared" si="426"/>
        <v>430</v>
      </c>
      <c r="G2552" s="23"/>
      <c r="H2552" s="7">
        <f t="shared" si="427"/>
        <v>0</v>
      </c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9">
        <f t="shared" si="424"/>
        <v>430</v>
      </c>
      <c r="T2552" s="10">
        <f t="shared" si="425"/>
        <v>0</v>
      </c>
      <c r="U2552" s="10"/>
    </row>
    <row r="2553" spans="1:25">
      <c r="A2553" s="6"/>
      <c r="B2553" t="s">
        <v>27</v>
      </c>
      <c r="C2553" s="7" t="s">
        <v>26</v>
      </c>
      <c r="D2553" s="10"/>
      <c r="E2553" s="10"/>
      <c r="F2553" s="7">
        <f t="shared" si="426"/>
        <v>927</v>
      </c>
      <c r="G2553" s="23"/>
      <c r="H2553" s="7">
        <f t="shared" si="427"/>
        <v>0</v>
      </c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9">
        <f t="shared" si="424"/>
        <v>927</v>
      </c>
      <c r="T2553" s="10">
        <f t="shared" si="425"/>
        <v>0</v>
      </c>
      <c r="U2553" s="10"/>
    </row>
    <row r="2554" spans="1:25">
      <c r="A2554" s="6"/>
      <c r="B2554" s="6" t="s">
        <v>28</v>
      </c>
      <c r="C2554" s="7" t="s">
        <v>26</v>
      </c>
      <c r="D2554" s="10"/>
      <c r="E2554" s="10"/>
      <c r="F2554" s="7">
        <f t="shared" si="426"/>
        <v>849</v>
      </c>
      <c r="G2554" s="23"/>
      <c r="H2554" s="7">
        <f t="shared" si="427"/>
        <v>0</v>
      </c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9">
        <f t="shared" si="424"/>
        <v>849</v>
      </c>
      <c r="T2554" s="10">
        <f t="shared" si="425"/>
        <v>0</v>
      </c>
      <c r="U2554" s="10"/>
    </row>
    <row r="2555" spans="1:25">
      <c r="A2555" s="6"/>
      <c r="B2555" s="6" t="s">
        <v>29</v>
      </c>
      <c r="C2555" s="7" t="s">
        <v>26</v>
      </c>
      <c r="D2555" s="10"/>
      <c r="E2555" s="10"/>
      <c r="F2555" s="7">
        <f t="shared" si="426"/>
        <v>485</v>
      </c>
      <c r="G2555" s="23"/>
      <c r="H2555" s="7">
        <f t="shared" si="427"/>
        <v>0</v>
      </c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9">
        <f t="shared" si="424"/>
        <v>485</v>
      </c>
      <c r="T2555" s="10">
        <f t="shared" si="425"/>
        <v>0</v>
      </c>
      <c r="U2555" s="10"/>
    </row>
    <row r="2556" spans="1:25">
      <c r="A2556" s="6"/>
      <c r="B2556" s="6" t="s">
        <v>30</v>
      </c>
      <c r="C2556" s="7" t="s">
        <v>26</v>
      </c>
      <c r="D2556" s="10"/>
      <c r="E2556" s="10"/>
      <c r="F2556" s="7">
        <f t="shared" si="426"/>
        <v>1798</v>
      </c>
      <c r="G2556" s="23"/>
      <c r="H2556" s="7">
        <f t="shared" si="427"/>
        <v>0</v>
      </c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9">
        <f t="shared" si="424"/>
        <v>1798</v>
      </c>
      <c r="T2556" s="10">
        <f t="shared" si="425"/>
        <v>0</v>
      </c>
      <c r="U2556" s="10"/>
    </row>
    <row r="2557" spans="1:25">
      <c r="A2557" s="6"/>
      <c r="B2557" s="6" t="s">
        <v>31</v>
      </c>
      <c r="C2557" s="7" t="s">
        <v>26</v>
      </c>
      <c r="D2557" s="10"/>
      <c r="E2557" s="10"/>
      <c r="F2557" s="7">
        <f t="shared" si="426"/>
        <v>1850</v>
      </c>
      <c r="G2557" s="23"/>
      <c r="H2557" s="7">
        <f t="shared" si="427"/>
        <v>0</v>
      </c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9">
        <f t="shared" si="424"/>
        <v>1850</v>
      </c>
      <c r="T2557" s="10">
        <f t="shared" si="425"/>
        <v>0</v>
      </c>
      <c r="U2557" s="10"/>
    </row>
    <row r="2558" spans="1:25">
      <c r="A2558" s="6"/>
      <c r="B2558" s="6" t="s">
        <v>32</v>
      </c>
      <c r="C2558" s="7" t="s">
        <v>26</v>
      </c>
      <c r="D2558" s="10"/>
      <c r="E2558" s="10"/>
      <c r="F2558" s="7">
        <f t="shared" si="426"/>
        <v>983</v>
      </c>
      <c r="G2558" s="23"/>
      <c r="H2558" s="7">
        <f t="shared" si="427"/>
        <v>0</v>
      </c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9">
        <f t="shared" si="424"/>
        <v>983</v>
      </c>
      <c r="T2558" s="10">
        <f t="shared" si="425"/>
        <v>0</v>
      </c>
      <c r="U2558" s="10"/>
    </row>
    <row r="2559" spans="1:25">
      <c r="A2559" s="6"/>
      <c r="B2559" s="6" t="s">
        <v>33</v>
      </c>
      <c r="C2559" s="7" t="s">
        <v>26</v>
      </c>
      <c r="D2559" s="10"/>
      <c r="E2559" s="10"/>
      <c r="F2559" s="7">
        <f t="shared" si="426"/>
        <v>1864</v>
      </c>
      <c r="G2559" s="23"/>
      <c r="H2559" s="7">
        <f t="shared" si="427"/>
        <v>0</v>
      </c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9">
        <f t="shared" si="424"/>
        <v>1864</v>
      </c>
      <c r="T2559" s="10">
        <f t="shared" si="425"/>
        <v>0</v>
      </c>
      <c r="U2559" s="10"/>
    </row>
    <row r="2560" spans="1:25">
      <c r="A2560" s="6"/>
      <c r="B2560" s="11" t="s">
        <v>34</v>
      </c>
      <c r="C2560" s="7" t="s">
        <v>26</v>
      </c>
      <c r="D2560" s="10"/>
      <c r="E2560" s="10"/>
      <c r="F2560" s="7">
        <f t="shared" si="426"/>
        <v>17</v>
      </c>
      <c r="G2560" s="23"/>
      <c r="H2560" s="7">
        <f t="shared" si="427"/>
        <v>0</v>
      </c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9">
        <f t="shared" si="424"/>
        <v>17</v>
      </c>
      <c r="T2560" s="10">
        <f t="shared" si="425"/>
        <v>0</v>
      </c>
      <c r="U2560" s="10"/>
    </row>
    <row r="2561" spans="1:21">
      <c r="A2561" s="6"/>
      <c r="B2561" s="11" t="s">
        <v>35</v>
      </c>
      <c r="C2561" s="7" t="s">
        <v>26</v>
      </c>
      <c r="D2561" s="10"/>
      <c r="E2561" s="10"/>
      <c r="F2561" s="7">
        <f t="shared" si="426"/>
        <v>120</v>
      </c>
      <c r="G2561" s="23"/>
      <c r="H2561" s="7">
        <f t="shared" si="427"/>
        <v>0</v>
      </c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9">
        <f t="shared" si="424"/>
        <v>120</v>
      </c>
      <c r="T2561" s="10">
        <f t="shared" si="425"/>
        <v>0</v>
      </c>
      <c r="U2561" s="10"/>
    </row>
    <row r="2562" spans="1:21">
      <c r="A2562" s="6"/>
      <c r="B2562" s="11" t="s">
        <v>36</v>
      </c>
      <c r="C2562" s="7" t="s">
        <v>26</v>
      </c>
      <c r="D2562" s="10"/>
      <c r="E2562" s="10"/>
      <c r="F2562" s="7">
        <f t="shared" si="426"/>
        <v>5677</v>
      </c>
      <c r="G2562" s="23"/>
      <c r="H2562" s="7">
        <f t="shared" ref="H2562:H2591" si="428">T2477</f>
        <v>0</v>
      </c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9">
        <f t="shared" si="424"/>
        <v>5677</v>
      </c>
      <c r="T2562" s="10">
        <f t="shared" si="425"/>
        <v>0</v>
      </c>
      <c r="U2562" s="10"/>
    </row>
    <row r="2563" spans="1:21">
      <c r="A2563" s="6"/>
      <c r="B2563" s="11" t="s">
        <v>37</v>
      </c>
      <c r="C2563" s="7" t="s">
        <v>26</v>
      </c>
      <c r="D2563" s="10"/>
      <c r="E2563" s="10"/>
      <c r="F2563" s="7">
        <f t="shared" si="426"/>
        <v>1697</v>
      </c>
      <c r="G2563" s="23"/>
      <c r="H2563" s="7">
        <f t="shared" si="428"/>
        <v>0</v>
      </c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9">
        <f t="shared" si="424"/>
        <v>1697</v>
      </c>
      <c r="T2563" s="10">
        <f t="shared" si="425"/>
        <v>0</v>
      </c>
      <c r="U2563" s="10"/>
    </row>
    <row r="2564" spans="1:21">
      <c r="A2564" s="6"/>
      <c r="B2564" s="11" t="s">
        <v>38</v>
      </c>
      <c r="C2564" s="7" t="s">
        <v>26</v>
      </c>
      <c r="D2564" s="10"/>
      <c r="E2564" s="10"/>
      <c r="F2564" s="7">
        <f t="shared" si="426"/>
        <v>0</v>
      </c>
      <c r="G2564" s="23"/>
      <c r="H2564" s="7">
        <f t="shared" si="428"/>
        <v>0</v>
      </c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9">
        <f t="shared" si="424"/>
        <v>0</v>
      </c>
      <c r="T2564" s="10">
        <f t="shared" si="425"/>
        <v>0</v>
      </c>
      <c r="U2564" s="10"/>
    </row>
    <row r="2565" spans="1:21">
      <c r="A2565" s="6"/>
      <c r="B2565" s="11" t="s">
        <v>39</v>
      </c>
      <c r="C2565" s="7" t="s">
        <v>26</v>
      </c>
      <c r="D2565" s="10"/>
      <c r="E2565" s="10"/>
      <c r="F2565" s="7">
        <f t="shared" si="426"/>
        <v>1973</v>
      </c>
      <c r="G2565" s="23"/>
      <c r="H2565" s="7">
        <f t="shared" si="428"/>
        <v>0</v>
      </c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9">
        <f t="shared" si="424"/>
        <v>1973</v>
      </c>
      <c r="T2565" s="10">
        <f t="shared" si="425"/>
        <v>0</v>
      </c>
      <c r="U2565" s="10"/>
    </row>
    <row r="2566" spans="1:21">
      <c r="A2566" s="6"/>
      <c r="B2566" s="11" t="s">
        <v>40</v>
      </c>
      <c r="C2566" s="7" t="s">
        <v>41</v>
      </c>
      <c r="D2566" s="10"/>
      <c r="E2566" s="10"/>
      <c r="F2566" s="7">
        <f t="shared" si="426"/>
        <v>0</v>
      </c>
      <c r="G2566" s="23"/>
      <c r="H2566" s="7">
        <f t="shared" si="428"/>
        <v>0</v>
      </c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9">
        <f t="shared" si="424"/>
        <v>0</v>
      </c>
      <c r="T2566" s="10">
        <f t="shared" si="425"/>
        <v>0</v>
      </c>
      <c r="U2566" s="10"/>
    </row>
    <row r="2567" spans="1:21">
      <c r="A2567" s="6"/>
      <c r="B2567" s="11" t="s">
        <v>42</v>
      </c>
      <c r="C2567" s="7" t="s">
        <v>41</v>
      </c>
      <c r="D2567" s="10"/>
      <c r="E2567" s="10"/>
      <c r="F2567" s="7">
        <f t="shared" si="426"/>
        <v>53</v>
      </c>
      <c r="G2567" s="23"/>
      <c r="H2567" s="7">
        <f t="shared" si="428"/>
        <v>0</v>
      </c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9">
        <f t="shared" ref="S2567:S2630" si="429">F2567+G2567-J2567-K2567-L2567+M2567+O2567-P2567-R2567</f>
        <v>53</v>
      </c>
      <c r="T2567" s="10">
        <f t="shared" ref="T2567:T2630" si="430">H2567+I2567+N2567+R2567-Q2567</f>
        <v>0</v>
      </c>
      <c r="U2567" s="10"/>
    </row>
    <row r="2568" spans="1:21">
      <c r="A2568" s="6"/>
      <c r="B2568" s="11" t="s">
        <v>43</v>
      </c>
      <c r="C2568" s="7" t="s">
        <v>41</v>
      </c>
      <c r="D2568" s="10"/>
      <c r="E2568" s="10"/>
      <c r="F2568" s="7">
        <f t="shared" si="426"/>
        <v>0</v>
      </c>
      <c r="G2568" s="23"/>
      <c r="H2568" s="7">
        <f t="shared" si="428"/>
        <v>0</v>
      </c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9">
        <f t="shared" si="429"/>
        <v>0</v>
      </c>
      <c r="T2568" s="10">
        <f t="shared" si="430"/>
        <v>0</v>
      </c>
      <c r="U2568" s="10"/>
    </row>
    <row r="2569" spans="1:21">
      <c r="A2569" s="6"/>
      <c r="B2569" s="11" t="s">
        <v>44</v>
      </c>
      <c r="C2569" s="7" t="s">
        <v>41</v>
      </c>
      <c r="D2569" s="10"/>
      <c r="E2569" s="10"/>
      <c r="F2569" s="7">
        <f t="shared" si="426"/>
        <v>75</v>
      </c>
      <c r="G2569" s="23"/>
      <c r="H2569" s="7">
        <f t="shared" si="428"/>
        <v>0</v>
      </c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9">
        <f t="shared" si="429"/>
        <v>75</v>
      </c>
      <c r="T2569" s="10">
        <f t="shared" si="430"/>
        <v>0</v>
      </c>
      <c r="U2569" s="10"/>
    </row>
    <row r="2570" spans="1:21">
      <c r="A2570" s="6"/>
      <c r="B2570" s="11" t="s">
        <v>45</v>
      </c>
      <c r="C2570" s="7" t="s">
        <v>41</v>
      </c>
      <c r="D2570" s="10"/>
      <c r="E2570" s="10"/>
      <c r="F2570" s="7">
        <f t="shared" si="426"/>
        <v>0</v>
      </c>
      <c r="G2570" s="23"/>
      <c r="H2570" s="7">
        <f t="shared" si="428"/>
        <v>0</v>
      </c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9">
        <f t="shared" si="429"/>
        <v>0</v>
      </c>
      <c r="T2570" s="10">
        <f t="shared" si="430"/>
        <v>0</v>
      </c>
      <c r="U2570" s="10"/>
    </row>
    <row r="2571" spans="1:21">
      <c r="A2571" s="6"/>
      <c r="B2571" s="11" t="s">
        <v>46</v>
      </c>
      <c r="C2571" s="7" t="s">
        <v>41</v>
      </c>
      <c r="D2571" s="10"/>
      <c r="E2571" s="10"/>
      <c r="F2571" s="7">
        <f t="shared" si="426"/>
        <v>17</v>
      </c>
      <c r="G2571" s="23"/>
      <c r="H2571" s="7">
        <f t="shared" si="428"/>
        <v>0</v>
      </c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9">
        <f t="shared" si="429"/>
        <v>17</v>
      </c>
      <c r="T2571" s="10">
        <f t="shared" si="430"/>
        <v>0</v>
      </c>
      <c r="U2571" s="10"/>
    </row>
    <row r="2572" spans="1:21">
      <c r="A2572" s="6"/>
      <c r="B2572" s="11" t="s">
        <v>47</v>
      </c>
      <c r="C2572" s="7" t="s">
        <v>26</v>
      </c>
      <c r="D2572" s="10"/>
      <c r="E2572" s="10"/>
      <c r="F2572" s="7">
        <f t="shared" si="426"/>
        <v>0</v>
      </c>
      <c r="G2572" s="23"/>
      <c r="H2572" s="7">
        <f t="shared" si="428"/>
        <v>0</v>
      </c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9">
        <f t="shared" si="429"/>
        <v>0</v>
      </c>
      <c r="T2572" s="10">
        <f t="shared" si="430"/>
        <v>0</v>
      </c>
      <c r="U2572" s="10"/>
    </row>
    <row r="2573" spans="1:21">
      <c r="A2573" s="6"/>
      <c r="B2573" s="11" t="s">
        <v>48</v>
      </c>
      <c r="C2573" s="7" t="s">
        <v>26</v>
      </c>
      <c r="D2573" s="10"/>
      <c r="E2573" s="10"/>
      <c r="F2573" s="7">
        <f t="shared" si="426"/>
        <v>56</v>
      </c>
      <c r="G2573" s="23"/>
      <c r="H2573" s="7">
        <f t="shared" si="428"/>
        <v>0</v>
      </c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9">
        <f t="shared" si="429"/>
        <v>56</v>
      </c>
      <c r="T2573" s="10">
        <f t="shared" si="430"/>
        <v>0</v>
      </c>
      <c r="U2573" s="10"/>
    </row>
    <row r="2574" spans="1:21">
      <c r="A2574" s="6"/>
      <c r="B2574" s="11" t="s">
        <v>50</v>
      </c>
      <c r="C2574" s="7" t="s">
        <v>26</v>
      </c>
      <c r="D2574" s="10"/>
      <c r="E2574" s="10"/>
      <c r="F2574" s="7">
        <f t="shared" si="426"/>
        <v>0</v>
      </c>
      <c r="G2574" s="23"/>
      <c r="H2574" s="7">
        <f t="shared" si="428"/>
        <v>0</v>
      </c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9">
        <f t="shared" si="429"/>
        <v>0</v>
      </c>
      <c r="T2574" s="10">
        <f t="shared" si="430"/>
        <v>0</v>
      </c>
      <c r="U2574" s="10"/>
    </row>
    <row r="2575" spans="1:21">
      <c r="A2575" s="6"/>
      <c r="B2575" s="11" t="s">
        <v>51</v>
      </c>
      <c r="C2575" s="7" t="s">
        <v>26</v>
      </c>
      <c r="D2575" s="10"/>
      <c r="E2575" s="10"/>
      <c r="F2575" s="7">
        <f t="shared" si="426"/>
        <v>0</v>
      </c>
      <c r="G2575" s="23"/>
      <c r="H2575" s="7">
        <f t="shared" si="428"/>
        <v>0</v>
      </c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9">
        <f t="shared" si="429"/>
        <v>0</v>
      </c>
      <c r="T2575" s="10">
        <f t="shared" si="430"/>
        <v>0</v>
      </c>
      <c r="U2575" s="10"/>
    </row>
    <row r="2576" spans="1:21">
      <c r="A2576" s="6"/>
      <c r="B2576" s="11" t="s">
        <v>52</v>
      </c>
      <c r="C2576" s="7" t="s">
        <v>26</v>
      </c>
      <c r="D2576" s="10"/>
      <c r="E2576" s="10"/>
      <c r="F2576" s="7">
        <f t="shared" si="426"/>
        <v>76</v>
      </c>
      <c r="G2576" s="23"/>
      <c r="H2576" s="7">
        <f t="shared" si="428"/>
        <v>0</v>
      </c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9">
        <f t="shared" si="429"/>
        <v>76</v>
      </c>
      <c r="T2576" s="10">
        <f t="shared" si="430"/>
        <v>0</v>
      </c>
      <c r="U2576" s="10"/>
    </row>
    <row r="2577" spans="1:21">
      <c r="A2577" s="6"/>
      <c r="B2577" s="11" t="s">
        <v>53</v>
      </c>
      <c r="C2577" s="7" t="s">
        <v>54</v>
      </c>
      <c r="D2577" s="10"/>
      <c r="E2577" s="10"/>
      <c r="F2577" s="7">
        <f t="shared" si="426"/>
        <v>0</v>
      </c>
      <c r="G2577" s="23"/>
      <c r="H2577" s="7">
        <f t="shared" si="428"/>
        <v>0</v>
      </c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9">
        <f t="shared" si="429"/>
        <v>0</v>
      </c>
      <c r="T2577" s="10">
        <f t="shared" si="430"/>
        <v>0</v>
      </c>
      <c r="U2577" s="10"/>
    </row>
    <row r="2578" spans="1:21">
      <c r="A2578" s="6"/>
      <c r="B2578" s="11" t="s">
        <v>55</v>
      </c>
      <c r="C2578" s="7" t="s">
        <v>54</v>
      </c>
      <c r="D2578" s="10"/>
      <c r="E2578" s="10"/>
      <c r="F2578" s="7">
        <f t="shared" si="426"/>
        <v>15</v>
      </c>
      <c r="G2578" s="23"/>
      <c r="H2578" s="7">
        <f t="shared" si="428"/>
        <v>0</v>
      </c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9">
        <f t="shared" si="429"/>
        <v>15</v>
      </c>
      <c r="T2578" s="10">
        <f t="shared" si="430"/>
        <v>0</v>
      </c>
      <c r="U2578" s="10"/>
    </row>
    <row r="2579" spans="1:21">
      <c r="A2579" s="6"/>
      <c r="B2579" s="11" t="s">
        <v>56</v>
      </c>
      <c r="C2579" s="7" t="s">
        <v>54</v>
      </c>
      <c r="D2579" s="10"/>
      <c r="E2579" s="10"/>
      <c r="F2579" s="7">
        <f t="shared" si="426"/>
        <v>2489</v>
      </c>
      <c r="G2579" s="23"/>
      <c r="H2579" s="7">
        <f t="shared" si="428"/>
        <v>0</v>
      </c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9">
        <f t="shared" si="429"/>
        <v>2489</v>
      </c>
      <c r="T2579" s="10">
        <f t="shared" si="430"/>
        <v>0</v>
      </c>
      <c r="U2579" s="10"/>
    </row>
    <row r="2580" spans="1:21">
      <c r="A2580" s="6"/>
      <c r="B2580" s="11" t="s">
        <v>57</v>
      </c>
      <c r="C2580" s="7" t="s">
        <v>54</v>
      </c>
      <c r="D2580" s="10"/>
      <c r="E2580" s="10"/>
      <c r="F2580" s="7">
        <f t="shared" si="426"/>
        <v>492</v>
      </c>
      <c r="G2580" s="23"/>
      <c r="H2580" s="7">
        <f t="shared" si="428"/>
        <v>0</v>
      </c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9">
        <f t="shared" si="429"/>
        <v>492</v>
      </c>
      <c r="T2580" s="10">
        <f t="shared" si="430"/>
        <v>0</v>
      </c>
      <c r="U2580" s="10"/>
    </row>
    <row r="2581" spans="1:21">
      <c r="A2581" s="6"/>
      <c r="B2581" s="11" t="s">
        <v>58</v>
      </c>
      <c r="C2581" s="7" t="s">
        <v>54</v>
      </c>
      <c r="D2581" s="10"/>
      <c r="E2581" s="10"/>
      <c r="F2581" s="7">
        <f t="shared" si="426"/>
        <v>0</v>
      </c>
      <c r="G2581" s="23"/>
      <c r="H2581" s="7">
        <f t="shared" si="428"/>
        <v>0</v>
      </c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9">
        <f t="shared" si="429"/>
        <v>0</v>
      </c>
      <c r="T2581" s="10">
        <f t="shared" si="430"/>
        <v>0</v>
      </c>
      <c r="U2581" s="10"/>
    </row>
    <row r="2582" spans="1:21">
      <c r="A2582" s="6"/>
      <c r="B2582" s="11" t="s">
        <v>59</v>
      </c>
      <c r="C2582" s="7" t="s">
        <v>54</v>
      </c>
      <c r="D2582" s="10"/>
      <c r="E2582" s="10"/>
      <c r="F2582" s="7">
        <f t="shared" si="426"/>
        <v>19</v>
      </c>
      <c r="G2582" s="23"/>
      <c r="H2582" s="7">
        <f t="shared" si="428"/>
        <v>0</v>
      </c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9">
        <f t="shared" si="429"/>
        <v>19</v>
      </c>
      <c r="T2582" s="10">
        <f t="shared" si="430"/>
        <v>0</v>
      </c>
      <c r="U2582" s="10"/>
    </row>
    <row r="2583" spans="1:21">
      <c r="A2583" s="6"/>
      <c r="B2583" s="11" t="s">
        <v>60</v>
      </c>
      <c r="C2583" s="7" t="s">
        <v>61</v>
      </c>
      <c r="D2583" s="10"/>
      <c r="E2583" s="10"/>
      <c r="F2583" s="7">
        <f t="shared" si="426"/>
        <v>0</v>
      </c>
      <c r="G2583" s="23"/>
      <c r="H2583" s="7">
        <f t="shared" si="428"/>
        <v>0</v>
      </c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9">
        <f t="shared" si="429"/>
        <v>0</v>
      </c>
      <c r="T2583" s="10">
        <f t="shared" si="430"/>
        <v>0</v>
      </c>
      <c r="U2583" s="10"/>
    </row>
    <row r="2584" spans="1:21">
      <c r="A2584" s="6"/>
      <c r="B2584" s="11" t="s">
        <v>62</v>
      </c>
      <c r="C2584" s="7" t="s">
        <v>61</v>
      </c>
      <c r="D2584" s="10"/>
      <c r="E2584" s="10"/>
      <c r="F2584" s="7">
        <f t="shared" si="426"/>
        <v>11</v>
      </c>
      <c r="G2584" s="23"/>
      <c r="H2584" s="7">
        <f t="shared" si="428"/>
        <v>0</v>
      </c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9">
        <f t="shared" si="429"/>
        <v>11</v>
      </c>
      <c r="T2584" s="10">
        <f t="shared" si="430"/>
        <v>0</v>
      </c>
      <c r="U2584" s="10"/>
    </row>
    <row r="2585" spans="1:21">
      <c r="A2585" s="6"/>
      <c r="B2585" s="10" t="s">
        <v>63</v>
      </c>
      <c r="C2585" s="10" t="s">
        <v>41</v>
      </c>
      <c r="D2585" s="10"/>
      <c r="E2585" s="10"/>
      <c r="F2585" s="7">
        <f t="shared" si="426"/>
        <v>0</v>
      </c>
      <c r="G2585" s="23"/>
      <c r="H2585" s="7">
        <f t="shared" si="428"/>
        <v>0</v>
      </c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9">
        <f t="shared" si="429"/>
        <v>0</v>
      </c>
      <c r="T2585" s="10">
        <f t="shared" si="430"/>
        <v>0</v>
      </c>
      <c r="U2585" s="10"/>
    </row>
    <row r="2586" spans="1:21">
      <c r="A2586" s="6"/>
      <c r="B2586" s="10" t="s">
        <v>64</v>
      </c>
      <c r="C2586" s="10" t="s">
        <v>41</v>
      </c>
      <c r="D2586" s="10"/>
      <c r="E2586" s="10"/>
      <c r="F2586" s="7">
        <f t="shared" si="426"/>
        <v>5</v>
      </c>
      <c r="G2586" s="23"/>
      <c r="H2586" s="7">
        <f t="shared" si="428"/>
        <v>0</v>
      </c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9">
        <f t="shared" si="429"/>
        <v>5</v>
      </c>
      <c r="T2586" s="10">
        <f t="shared" si="430"/>
        <v>0</v>
      </c>
      <c r="U2586" s="10"/>
    </row>
    <row r="2587" spans="1:21">
      <c r="A2587" s="6"/>
      <c r="B2587" s="11" t="s">
        <v>65</v>
      </c>
      <c r="C2587" s="7" t="s">
        <v>26</v>
      </c>
      <c r="D2587" s="10"/>
      <c r="E2587" s="10"/>
      <c r="F2587" s="7">
        <f t="shared" si="426"/>
        <v>0</v>
      </c>
      <c r="G2587" s="23"/>
      <c r="H2587" s="7">
        <f t="shared" si="428"/>
        <v>0</v>
      </c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9">
        <f t="shared" si="429"/>
        <v>0</v>
      </c>
      <c r="T2587" s="10">
        <f t="shared" si="430"/>
        <v>0</v>
      </c>
      <c r="U2587" s="10"/>
    </row>
    <row r="2588" spans="1:21">
      <c r="A2588" s="6"/>
      <c r="B2588" s="11" t="s">
        <v>66</v>
      </c>
      <c r="C2588" s="7" t="s">
        <v>26</v>
      </c>
      <c r="D2588" s="10"/>
      <c r="E2588" s="10"/>
      <c r="F2588" s="7">
        <f t="shared" si="426"/>
        <v>71</v>
      </c>
      <c r="G2588" s="23"/>
      <c r="H2588" s="7">
        <f t="shared" si="428"/>
        <v>0</v>
      </c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9">
        <f t="shared" si="429"/>
        <v>71</v>
      </c>
      <c r="T2588" s="10">
        <f t="shared" si="430"/>
        <v>0</v>
      </c>
      <c r="U2588" s="10"/>
    </row>
    <row r="2589" spans="1:21">
      <c r="A2589" s="6"/>
      <c r="B2589" s="11" t="s">
        <v>67</v>
      </c>
      <c r="C2589" s="7" t="s">
        <v>26</v>
      </c>
      <c r="D2589" s="10"/>
      <c r="E2589" s="10"/>
      <c r="F2589" s="7">
        <f t="shared" si="426"/>
        <v>0</v>
      </c>
      <c r="G2589" s="23"/>
      <c r="H2589" s="7">
        <f t="shared" si="428"/>
        <v>0</v>
      </c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9">
        <f t="shared" si="429"/>
        <v>0</v>
      </c>
      <c r="T2589" s="10">
        <f t="shared" si="430"/>
        <v>0</v>
      </c>
      <c r="U2589" s="10"/>
    </row>
    <row r="2590" spans="1:21">
      <c r="A2590" s="6"/>
      <c r="B2590" s="11" t="s">
        <v>68</v>
      </c>
      <c r="C2590" s="7" t="s">
        <v>26</v>
      </c>
      <c r="D2590" s="10"/>
      <c r="E2590" s="10"/>
      <c r="F2590" s="7">
        <f t="shared" si="426"/>
        <v>7</v>
      </c>
      <c r="G2590" s="23"/>
      <c r="H2590" s="7">
        <f t="shared" si="428"/>
        <v>0</v>
      </c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9">
        <f t="shared" si="429"/>
        <v>7</v>
      </c>
      <c r="T2590" s="10">
        <f t="shared" si="430"/>
        <v>0</v>
      </c>
      <c r="U2590" s="10"/>
    </row>
    <row r="2591" spans="1:21">
      <c r="A2591" s="6"/>
      <c r="B2591" s="11" t="s">
        <v>69</v>
      </c>
      <c r="C2591" s="7" t="s">
        <v>41</v>
      </c>
      <c r="D2591" s="10"/>
      <c r="E2591" s="10"/>
      <c r="F2591" s="7">
        <f t="shared" ref="F2591:F2636" si="431">S2506</f>
        <v>0</v>
      </c>
      <c r="G2591" s="23"/>
      <c r="H2591" s="7">
        <f t="shared" si="428"/>
        <v>0</v>
      </c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9">
        <f t="shared" si="429"/>
        <v>0</v>
      </c>
      <c r="T2591" s="10">
        <f t="shared" si="430"/>
        <v>0</v>
      </c>
      <c r="U2591" s="10"/>
    </row>
    <row r="2592" spans="1:21">
      <c r="A2592" s="6"/>
      <c r="B2592" s="11" t="s">
        <v>70</v>
      </c>
      <c r="C2592" s="7" t="s">
        <v>41</v>
      </c>
      <c r="D2592" s="10"/>
      <c r="E2592" s="10"/>
      <c r="F2592" s="7">
        <f t="shared" si="431"/>
        <v>13</v>
      </c>
      <c r="G2592" s="23"/>
      <c r="H2592" s="7">
        <f t="shared" ref="H2592:H2636" si="432">T2507</f>
        <v>0</v>
      </c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9">
        <f t="shared" si="429"/>
        <v>13</v>
      </c>
      <c r="T2592" s="10">
        <f t="shared" si="430"/>
        <v>0</v>
      </c>
      <c r="U2592" s="10"/>
    </row>
    <row r="2593" spans="1:21">
      <c r="A2593" s="6"/>
      <c r="B2593" s="11" t="s">
        <v>71</v>
      </c>
      <c r="C2593" s="7" t="s">
        <v>61</v>
      </c>
      <c r="D2593" s="10"/>
      <c r="E2593" s="10"/>
      <c r="F2593" s="7">
        <f t="shared" si="431"/>
        <v>0</v>
      </c>
      <c r="G2593" s="23"/>
      <c r="H2593" s="7">
        <f t="shared" si="432"/>
        <v>0</v>
      </c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9">
        <f t="shared" si="429"/>
        <v>0</v>
      </c>
      <c r="T2593" s="10">
        <f t="shared" si="430"/>
        <v>0</v>
      </c>
      <c r="U2593" s="10"/>
    </row>
    <row r="2594" spans="1:21">
      <c r="A2594" s="6"/>
      <c r="B2594" s="11" t="s">
        <v>72</v>
      </c>
      <c r="C2594" s="7" t="s">
        <v>61</v>
      </c>
      <c r="D2594" s="10"/>
      <c r="E2594" s="10"/>
      <c r="F2594" s="7">
        <f t="shared" si="431"/>
        <v>8</v>
      </c>
      <c r="G2594" s="23"/>
      <c r="H2594" s="7">
        <f t="shared" si="432"/>
        <v>0</v>
      </c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9">
        <f t="shared" si="429"/>
        <v>8</v>
      </c>
      <c r="T2594" s="10">
        <f t="shared" si="430"/>
        <v>0</v>
      </c>
      <c r="U2594" s="10"/>
    </row>
    <row r="2595" spans="1:21">
      <c r="A2595" s="6"/>
      <c r="B2595" s="11" t="s">
        <v>73</v>
      </c>
      <c r="C2595" s="7" t="s">
        <v>26</v>
      </c>
      <c r="D2595" s="10"/>
      <c r="E2595" s="10"/>
      <c r="F2595" s="7">
        <f t="shared" si="431"/>
        <v>0</v>
      </c>
      <c r="G2595" s="23"/>
      <c r="H2595" s="7">
        <f t="shared" si="432"/>
        <v>0</v>
      </c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9">
        <f t="shared" si="429"/>
        <v>0</v>
      </c>
      <c r="T2595" s="10">
        <f t="shared" si="430"/>
        <v>0</v>
      </c>
      <c r="U2595" s="10"/>
    </row>
    <row r="2596" spans="1:21">
      <c r="A2596" s="6"/>
      <c r="B2596" s="11" t="s">
        <v>74</v>
      </c>
      <c r="C2596" s="7" t="s">
        <v>26</v>
      </c>
      <c r="D2596" s="10"/>
      <c r="E2596" s="10"/>
      <c r="F2596" s="7">
        <f t="shared" si="431"/>
        <v>22</v>
      </c>
      <c r="G2596" s="23"/>
      <c r="H2596" s="7">
        <f t="shared" si="432"/>
        <v>0</v>
      </c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9">
        <f t="shared" si="429"/>
        <v>22</v>
      </c>
      <c r="T2596" s="10">
        <f t="shared" si="430"/>
        <v>0</v>
      </c>
      <c r="U2596" s="10"/>
    </row>
    <row r="2597" spans="1:21">
      <c r="A2597" s="6"/>
      <c r="B2597" s="11" t="s">
        <v>75</v>
      </c>
      <c r="C2597" s="7" t="s">
        <v>26</v>
      </c>
      <c r="D2597" s="10"/>
      <c r="E2597" s="10"/>
      <c r="F2597" s="7">
        <f t="shared" si="431"/>
        <v>0</v>
      </c>
      <c r="G2597" s="23"/>
      <c r="H2597" s="7">
        <f t="shared" si="432"/>
        <v>0</v>
      </c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9">
        <f t="shared" si="429"/>
        <v>0</v>
      </c>
      <c r="T2597" s="10">
        <f t="shared" si="430"/>
        <v>0</v>
      </c>
      <c r="U2597" s="10"/>
    </row>
    <row r="2598" spans="1:21">
      <c r="A2598" s="6"/>
      <c r="B2598" s="11" t="s">
        <v>76</v>
      </c>
      <c r="C2598" s="7" t="s">
        <v>26</v>
      </c>
      <c r="D2598" s="10"/>
      <c r="E2598" s="10"/>
      <c r="F2598" s="7">
        <f t="shared" si="431"/>
        <v>20</v>
      </c>
      <c r="G2598" s="23"/>
      <c r="H2598" s="7">
        <f t="shared" si="432"/>
        <v>0</v>
      </c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9">
        <f t="shared" si="429"/>
        <v>20</v>
      </c>
      <c r="T2598" s="10">
        <f t="shared" si="430"/>
        <v>0</v>
      </c>
      <c r="U2598" s="10"/>
    </row>
    <row r="2599" spans="1:21">
      <c r="A2599" s="6"/>
      <c r="B2599" s="11" t="s">
        <v>77</v>
      </c>
      <c r="C2599" s="7" t="s">
        <v>61</v>
      </c>
      <c r="D2599" s="10"/>
      <c r="E2599" s="10"/>
      <c r="F2599" s="7">
        <f t="shared" si="431"/>
        <v>0</v>
      </c>
      <c r="G2599" s="23"/>
      <c r="H2599" s="7">
        <f t="shared" si="432"/>
        <v>0</v>
      </c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9">
        <f t="shared" si="429"/>
        <v>0</v>
      </c>
      <c r="T2599" s="10">
        <f t="shared" si="430"/>
        <v>0</v>
      </c>
      <c r="U2599" s="10"/>
    </row>
    <row r="2600" spans="1:21">
      <c r="A2600" s="6"/>
      <c r="B2600" s="11" t="s">
        <v>78</v>
      </c>
      <c r="C2600" s="7" t="s">
        <v>61</v>
      </c>
      <c r="D2600" s="10"/>
      <c r="E2600" s="10"/>
      <c r="F2600" s="7">
        <f t="shared" si="431"/>
        <v>69</v>
      </c>
      <c r="G2600" s="23"/>
      <c r="H2600" s="7">
        <f t="shared" si="432"/>
        <v>0</v>
      </c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9">
        <f t="shared" si="429"/>
        <v>69</v>
      </c>
      <c r="T2600" s="10">
        <f t="shared" si="430"/>
        <v>0</v>
      </c>
      <c r="U2600" s="10"/>
    </row>
    <row r="2601" spans="1:21">
      <c r="A2601" s="6"/>
      <c r="B2601" s="11" t="s">
        <v>105</v>
      </c>
      <c r="C2601" s="7" t="s">
        <v>26</v>
      </c>
      <c r="D2601" s="10"/>
      <c r="E2601" s="10"/>
      <c r="F2601" s="7">
        <f t="shared" si="431"/>
        <v>2289</v>
      </c>
      <c r="G2601" s="23"/>
      <c r="H2601" s="7">
        <f t="shared" si="432"/>
        <v>0</v>
      </c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9">
        <f t="shared" si="429"/>
        <v>2289</v>
      </c>
      <c r="T2601" s="10">
        <f t="shared" si="430"/>
        <v>0</v>
      </c>
      <c r="U2601" s="10"/>
    </row>
    <row r="2602" spans="1:21">
      <c r="A2602" s="6"/>
      <c r="B2602" s="11" t="s">
        <v>80</v>
      </c>
      <c r="C2602" s="7" t="s">
        <v>26</v>
      </c>
      <c r="D2602" s="10"/>
      <c r="E2602" s="10"/>
      <c r="F2602" s="7">
        <f t="shared" si="431"/>
        <v>511</v>
      </c>
      <c r="G2602" s="23"/>
      <c r="H2602" s="7">
        <f t="shared" si="432"/>
        <v>0</v>
      </c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9">
        <f t="shared" si="429"/>
        <v>511</v>
      </c>
      <c r="T2602" s="10">
        <f t="shared" si="430"/>
        <v>0</v>
      </c>
      <c r="U2602" s="10"/>
    </row>
    <row r="2603" spans="1:21">
      <c r="A2603" s="6"/>
      <c r="B2603" s="11" t="s">
        <v>81</v>
      </c>
      <c r="C2603" s="7" t="s">
        <v>26</v>
      </c>
      <c r="D2603" s="10"/>
      <c r="E2603" s="10"/>
      <c r="F2603" s="7">
        <f t="shared" si="431"/>
        <v>0</v>
      </c>
      <c r="G2603" s="23"/>
      <c r="H2603" s="7">
        <f t="shared" si="432"/>
        <v>0</v>
      </c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9">
        <f t="shared" si="429"/>
        <v>0</v>
      </c>
      <c r="T2603" s="10">
        <f t="shared" si="430"/>
        <v>0</v>
      </c>
      <c r="U2603" s="10"/>
    </row>
    <row r="2604" spans="1:21">
      <c r="A2604" s="6"/>
      <c r="B2604" s="11" t="s">
        <v>82</v>
      </c>
      <c r="C2604" s="7" t="s">
        <v>26</v>
      </c>
      <c r="D2604" s="10"/>
      <c r="E2604" s="10"/>
      <c r="F2604" s="7">
        <f t="shared" si="431"/>
        <v>14</v>
      </c>
      <c r="G2604" s="23"/>
      <c r="H2604" s="7">
        <f t="shared" si="432"/>
        <v>0</v>
      </c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9">
        <f t="shared" si="429"/>
        <v>14</v>
      </c>
      <c r="T2604" s="10">
        <f t="shared" si="430"/>
        <v>0</v>
      </c>
      <c r="U2604" s="10"/>
    </row>
    <row r="2605" spans="1:21">
      <c r="A2605" s="6"/>
      <c r="B2605" s="11" t="s">
        <v>83</v>
      </c>
      <c r="C2605" s="7" t="s">
        <v>26</v>
      </c>
      <c r="D2605" s="10"/>
      <c r="E2605" s="10"/>
      <c r="F2605" s="7">
        <f t="shared" si="431"/>
        <v>0</v>
      </c>
      <c r="G2605" s="23"/>
      <c r="H2605" s="7">
        <f t="shared" si="432"/>
        <v>0</v>
      </c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9">
        <f t="shared" si="429"/>
        <v>0</v>
      </c>
      <c r="T2605" s="10">
        <f t="shared" si="430"/>
        <v>0</v>
      </c>
      <c r="U2605" s="10"/>
    </row>
    <row r="2606" spans="1:21">
      <c r="A2606" s="6"/>
      <c r="B2606" s="11" t="s">
        <v>84</v>
      </c>
      <c r="C2606" s="7" t="s">
        <v>26</v>
      </c>
      <c r="D2606" s="10"/>
      <c r="E2606" s="10"/>
      <c r="F2606" s="7">
        <f t="shared" si="431"/>
        <v>28</v>
      </c>
      <c r="G2606" s="23"/>
      <c r="H2606" s="7">
        <f t="shared" si="432"/>
        <v>0</v>
      </c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9">
        <f t="shared" si="429"/>
        <v>28</v>
      </c>
      <c r="T2606" s="10">
        <f t="shared" si="430"/>
        <v>0</v>
      </c>
      <c r="U2606" s="10"/>
    </row>
    <row r="2607" spans="1:21">
      <c r="A2607" s="6"/>
      <c r="B2607" s="11" t="s">
        <v>85</v>
      </c>
      <c r="C2607" s="7" t="s">
        <v>61</v>
      </c>
      <c r="D2607" s="10"/>
      <c r="E2607" s="10"/>
      <c r="F2607" s="7">
        <f t="shared" si="431"/>
        <v>0</v>
      </c>
      <c r="G2607" s="23"/>
      <c r="H2607" s="7">
        <f t="shared" si="432"/>
        <v>0</v>
      </c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9">
        <f t="shared" si="429"/>
        <v>0</v>
      </c>
      <c r="T2607" s="10">
        <f t="shared" si="430"/>
        <v>0</v>
      </c>
      <c r="U2607" s="10"/>
    </row>
    <row r="2608" spans="1:21">
      <c r="A2608" s="6"/>
      <c r="B2608" s="11" t="s">
        <v>86</v>
      </c>
      <c r="C2608" s="7" t="s">
        <v>61</v>
      </c>
      <c r="D2608" s="10"/>
      <c r="E2608" s="10"/>
      <c r="F2608" s="7">
        <f t="shared" si="431"/>
        <v>10</v>
      </c>
      <c r="G2608" s="23"/>
      <c r="H2608" s="7">
        <f t="shared" si="432"/>
        <v>0</v>
      </c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9">
        <f t="shared" si="429"/>
        <v>10</v>
      </c>
      <c r="T2608" s="10">
        <f t="shared" si="430"/>
        <v>0</v>
      </c>
      <c r="U2608" s="10"/>
    </row>
    <row r="2609" spans="1:21">
      <c r="A2609" s="6"/>
      <c r="B2609" s="11" t="s">
        <v>87</v>
      </c>
      <c r="C2609" s="7" t="s">
        <v>26</v>
      </c>
      <c r="D2609" s="10"/>
      <c r="E2609" s="10"/>
      <c r="F2609" s="7">
        <f t="shared" si="431"/>
        <v>0</v>
      </c>
      <c r="G2609" s="23"/>
      <c r="H2609" s="7">
        <f t="shared" si="432"/>
        <v>0</v>
      </c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9">
        <f t="shared" si="429"/>
        <v>0</v>
      </c>
      <c r="T2609" s="10">
        <f t="shared" si="430"/>
        <v>0</v>
      </c>
      <c r="U2609" s="10"/>
    </row>
    <row r="2610" spans="1:21">
      <c r="A2610" s="6"/>
      <c r="B2610" s="11" t="s">
        <v>88</v>
      </c>
      <c r="C2610" s="10"/>
      <c r="D2610" s="10"/>
      <c r="E2610" s="10"/>
      <c r="F2610" s="7">
        <f t="shared" si="431"/>
        <v>7</v>
      </c>
      <c r="G2610" s="23"/>
      <c r="H2610" s="7">
        <f t="shared" si="432"/>
        <v>0</v>
      </c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9">
        <f t="shared" si="429"/>
        <v>7</v>
      </c>
      <c r="T2610" s="10">
        <f t="shared" si="430"/>
        <v>0</v>
      </c>
      <c r="U2610" s="10"/>
    </row>
    <row r="2611" spans="1:21">
      <c r="A2611" s="6"/>
      <c r="B2611" s="11" t="s">
        <v>89</v>
      </c>
      <c r="C2611" s="7" t="s">
        <v>26</v>
      </c>
      <c r="D2611" s="10"/>
      <c r="E2611" s="10"/>
      <c r="F2611" s="7">
        <f t="shared" si="431"/>
        <v>858</v>
      </c>
      <c r="G2611" s="23"/>
      <c r="H2611" s="7">
        <f t="shared" si="432"/>
        <v>0</v>
      </c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9">
        <f t="shared" si="429"/>
        <v>858</v>
      </c>
      <c r="T2611" s="10">
        <f t="shared" si="430"/>
        <v>0</v>
      </c>
      <c r="U2611" s="10"/>
    </row>
    <row r="2612" spans="1:21">
      <c r="A2612" s="6"/>
      <c r="B2612" s="11" t="s">
        <v>90</v>
      </c>
      <c r="C2612" s="7" t="s">
        <v>26</v>
      </c>
      <c r="D2612" s="10"/>
      <c r="E2612" s="10"/>
      <c r="F2612" s="7">
        <f t="shared" si="431"/>
        <v>0</v>
      </c>
      <c r="G2612" s="23"/>
      <c r="H2612" s="7">
        <f t="shared" si="432"/>
        <v>0</v>
      </c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9">
        <f t="shared" si="429"/>
        <v>0</v>
      </c>
      <c r="T2612" s="10">
        <f t="shared" si="430"/>
        <v>0</v>
      </c>
      <c r="U2612" s="10"/>
    </row>
    <row r="2613" spans="1:21">
      <c r="A2613" s="6"/>
      <c r="B2613" s="11" t="s">
        <v>91</v>
      </c>
      <c r="C2613" s="7" t="s">
        <v>26</v>
      </c>
      <c r="D2613" s="10"/>
      <c r="E2613" s="10"/>
      <c r="F2613" s="7">
        <f t="shared" si="431"/>
        <v>138</v>
      </c>
      <c r="G2613" s="23"/>
      <c r="H2613" s="7">
        <f t="shared" si="432"/>
        <v>0</v>
      </c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9">
        <f t="shared" si="429"/>
        <v>138</v>
      </c>
      <c r="T2613" s="10">
        <f t="shared" si="430"/>
        <v>0</v>
      </c>
      <c r="U2613" s="10"/>
    </row>
    <row r="2614" spans="1:21">
      <c r="A2614" s="6"/>
      <c r="B2614" s="12" t="s">
        <v>92</v>
      </c>
      <c r="C2614" s="13" t="s">
        <v>26</v>
      </c>
      <c r="D2614" s="10"/>
      <c r="E2614" s="10"/>
      <c r="F2614" s="7">
        <f t="shared" si="431"/>
        <v>1106</v>
      </c>
      <c r="G2614" s="23"/>
      <c r="H2614" s="7">
        <f t="shared" si="432"/>
        <v>0</v>
      </c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9">
        <f t="shared" si="429"/>
        <v>1106</v>
      </c>
      <c r="T2614" s="10">
        <f t="shared" si="430"/>
        <v>0</v>
      </c>
      <c r="U2614" s="10"/>
    </row>
    <row r="2615" spans="1:21">
      <c r="A2615" s="6"/>
      <c r="B2615" s="12" t="s">
        <v>93</v>
      </c>
      <c r="C2615" s="13" t="s">
        <v>26</v>
      </c>
      <c r="D2615" s="10"/>
      <c r="E2615" s="10"/>
      <c r="F2615" s="7">
        <f t="shared" si="431"/>
        <v>1937</v>
      </c>
      <c r="G2615" s="23"/>
      <c r="H2615" s="7">
        <f t="shared" si="432"/>
        <v>0</v>
      </c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9">
        <f t="shared" si="429"/>
        <v>1937</v>
      </c>
      <c r="T2615" s="10">
        <f t="shared" si="430"/>
        <v>0</v>
      </c>
      <c r="U2615" s="10"/>
    </row>
    <row r="2616" spans="1:21">
      <c r="A2616" s="6"/>
      <c r="B2616" s="11" t="s">
        <v>94</v>
      </c>
      <c r="C2616" s="7" t="s">
        <v>41</v>
      </c>
      <c r="D2616" s="10"/>
      <c r="E2616" s="10"/>
      <c r="F2616" s="7">
        <f t="shared" si="431"/>
        <v>0</v>
      </c>
      <c r="G2616" s="23"/>
      <c r="H2616" s="7">
        <f t="shared" si="432"/>
        <v>0</v>
      </c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9">
        <f t="shared" si="429"/>
        <v>0</v>
      </c>
      <c r="T2616" s="10">
        <f t="shared" si="430"/>
        <v>0</v>
      </c>
      <c r="U2616" s="10"/>
    </row>
    <row r="2617" spans="1:21">
      <c r="A2617" s="6"/>
      <c r="B2617" s="11" t="s">
        <v>95</v>
      </c>
      <c r="C2617" s="7" t="s">
        <v>41</v>
      </c>
      <c r="D2617" s="10"/>
      <c r="E2617" s="10"/>
      <c r="F2617" s="7">
        <f t="shared" si="431"/>
        <v>39</v>
      </c>
      <c r="G2617" s="23"/>
      <c r="H2617" s="7">
        <f t="shared" si="432"/>
        <v>0</v>
      </c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9">
        <f t="shared" si="429"/>
        <v>39</v>
      </c>
      <c r="T2617" s="10">
        <f t="shared" si="430"/>
        <v>0</v>
      </c>
      <c r="U2617" s="10"/>
    </row>
    <row r="2618" spans="1:21">
      <c r="A2618" s="6"/>
      <c r="B2618" s="11" t="s">
        <v>96</v>
      </c>
      <c r="C2618" s="7" t="s">
        <v>41</v>
      </c>
      <c r="D2618" s="10"/>
      <c r="E2618" s="10"/>
      <c r="F2618" s="7">
        <f t="shared" si="431"/>
        <v>0</v>
      </c>
      <c r="G2618" s="23"/>
      <c r="H2618" s="7">
        <f t="shared" si="432"/>
        <v>0</v>
      </c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9">
        <f t="shared" si="429"/>
        <v>0</v>
      </c>
      <c r="T2618" s="10">
        <f t="shared" si="430"/>
        <v>0</v>
      </c>
      <c r="U2618" s="10"/>
    </row>
    <row r="2619" spans="1:21">
      <c r="A2619" s="6"/>
      <c r="B2619" s="11" t="s">
        <v>97</v>
      </c>
      <c r="C2619" s="7" t="s">
        <v>41</v>
      </c>
      <c r="D2619" s="10"/>
      <c r="E2619" s="10"/>
      <c r="F2619" s="7">
        <f t="shared" si="431"/>
        <v>0</v>
      </c>
      <c r="G2619" s="23"/>
      <c r="H2619" s="7">
        <f t="shared" si="432"/>
        <v>0</v>
      </c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9">
        <f t="shared" si="429"/>
        <v>0</v>
      </c>
      <c r="T2619" s="10">
        <f t="shared" si="430"/>
        <v>0</v>
      </c>
      <c r="U2619" s="10"/>
    </row>
    <row r="2620" spans="1:21">
      <c r="A2620" s="6"/>
      <c r="B2620" s="11" t="s">
        <v>98</v>
      </c>
      <c r="C2620" s="7" t="s">
        <v>26</v>
      </c>
      <c r="D2620" s="10"/>
      <c r="E2620" s="10"/>
      <c r="F2620" s="7">
        <f t="shared" si="431"/>
        <v>999</v>
      </c>
      <c r="G2620" s="23"/>
      <c r="H2620" s="7">
        <f t="shared" si="432"/>
        <v>0</v>
      </c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9">
        <f t="shared" si="429"/>
        <v>999</v>
      </c>
      <c r="T2620" s="10">
        <f t="shared" si="430"/>
        <v>0</v>
      </c>
      <c r="U2620" s="10"/>
    </row>
    <row r="2621" spans="1:21">
      <c r="A2621" s="6"/>
      <c r="B2621" s="11" t="s">
        <v>99</v>
      </c>
      <c r="C2621" s="7" t="s">
        <v>26</v>
      </c>
      <c r="D2621" s="10"/>
      <c r="E2621" s="10"/>
      <c r="F2621" s="7">
        <f t="shared" si="431"/>
        <v>267</v>
      </c>
      <c r="G2621" s="23"/>
      <c r="H2621" s="7">
        <f t="shared" si="432"/>
        <v>0</v>
      </c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9">
        <f t="shared" si="429"/>
        <v>267</v>
      </c>
      <c r="T2621" s="10">
        <f t="shared" si="430"/>
        <v>0</v>
      </c>
      <c r="U2621" s="10"/>
    </row>
    <row r="2622" spans="1:21">
      <c r="A2622" s="6"/>
      <c r="B2622" s="11" t="s">
        <v>100</v>
      </c>
      <c r="C2622" s="7" t="s">
        <v>26</v>
      </c>
      <c r="D2622" s="10"/>
      <c r="E2622" s="10"/>
      <c r="F2622" s="7">
        <f t="shared" si="431"/>
        <v>510</v>
      </c>
      <c r="G2622" s="23"/>
      <c r="H2622" s="7">
        <f t="shared" si="432"/>
        <v>0</v>
      </c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9">
        <f t="shared" si="429"/>
        <v>510</v>
      </c>
      <c r="T2622" s="10">
        <f t="shared" si="430"/>
        <v>0</v>
      </c>
      <c r="U2622" s="10"/>
    </row>
    <row r="2623" spans="1:21">
      <c r="A2623" s="6"/>
      <c r="B2623" s="11" t="s">
        <v>101</v>
      </c>
      <c r="C2623" s="7" t="s">
        <v>26</v>
      </c>
      <c r="D2623" s="10"/>
      <c r="E2623" s="10"/>
      <c r="F2623" s="7">
        <f t="shared" si="431"/>
        <v>231</v>
      </c>
      <c r="G2623" s="23"/>
      <c r="H2623" s="7">
        <f t="shared" si="432"/>
        <v>0</v>
      </c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9">
        <f t="shared" si="429"/>
        <v>231</v>
      </c>
      <c r="T2623" s="10">
        <f t="shared" si="430"/>
        <v>0</v>
      </c>
      <c r="U2623" s="10"/>
    </row>
    <row r="2624" spans="1:21">
      <c r="A2624" s="6"/>
      <c r="B2624" s="11" t="s">
        <v>102</v>
      </c>
      <c r="C2624" s="7" t="s">
        <v>26</v>
      </c>
      <c r="D2624" s="10"/>
      <c r="E2624" s="10"/>
      <c r="F2624" s="7">
        <f t="shared" si="431"/>
        <v>949</v>
      </c>
      <c r="G2624" s="23"/>
      <c r="H2624" s="7">
        <f t="shared" si="432"/>
        <v>0</v>
      </c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9">
        <f t="shared" si="429"/>
        <v>949</v>
      </c>
      <c r="T2624" s="10">
        <f t="shared" si="430"/>
        <v>0</v>
      </c>
      <c r="U2624" s="10"/>
    </row>
    <row r="2625" spans="1:21">
      <c r="A2625" s="6"/>
      <c r="B2625" s="11" t="s">
        <v>103</v>
      </c>
      <c r="C2625" s="7" t="s">
        <v>26</v>
      </c>
      <c r="D2625" s="10"/>
      <c r="E2625" s="10"/>
      <c r="F2625" s="7">
        <f t="shared" si="431"/>
        <v>632</v>
      </c>
      <c r="G2625" s="23"/>
      <c r="H2625" s="7">
        <f t="shared" si="432"/>
        <v>0</v>
      </c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9">
        <f t="shared" si="429"/>
        <v>632</v>
      </c>
      <c r="T2625" s="10">
        <f t="shared" si="430"/>
        <v>0</v>
      </c>
      <c r="U2625" s="10"/>
    </row>
    <row r="2626" spans="1:21">
      <c r="A2626" s="6"/>
      <c r="B2626" s="11" t="s">
        <v>112</v>
      </c>
      <c r="C2626" s="7" t="s">
        <v>113</v>
      </c>
      <c r="D2626" s="10"/>
      <c r="E2626" s="10"/>
      <c r="F2626" s="7">
        <f t="shared" si="431"/>
        <v>840</v>
      </c>
      <c r="G2626" s="23"/>
      <c r="H2626" s="7">
        <f t="shared" si="432"/>
        <v>0</v>
      </c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9">
        <f t="shared" si="429"/>
        <v>840</v>
      </c>
      <c r="T2626" s="10">
        <f t="shared" si="430"/>
        <v>0</v>
      </c>
      <c r="U2626" s="10"/>
    </row>
    <row r="2627" spans="1:21">
      <c r="A2627" s="6"/>
      <c r="B2627" s="10"/>
      <c r="C2627" s="10"/>
      <c r="D2627" s="10"/>
      <c r="E2627" s="10"/>
      <c r="F2627" s="7">
        <f t="shared" si="431"/>
        <v>0</v>
      </c>
      <c r="G2627" s="23"/>
      <c r="H2627" s="7">
        <f t="shared" si="432"/>
        <v>0</v>
      </c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9">
        <f t="shared" si="429"/>
        <v>0</v>
      </c>
      <c r="T2627" s="10">
        <f t="shared" si="430"/>
        <v>0</v>
      </c>
      <c r="U2627" s="10"/>
    </row>
    <row r="2628" spans="1:21">
      <c r="A2628" s="6"/>
      <c r="B2628" s="10"/>
      <c r="C2628" s="10"/>
      <c r="D2628" s="10"/>
      <c r="E2628" s="10"/>
      <c r="F2628" s="7">
        <f t="shared" si="431"/>
        <v>0</v>
      </c>
      <c r="G2628" s="23"/>
      <c r="H2628" s="7">
        <f t="shared" si="432"/>
        <v>0</v>
      </c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9">
        <f t="shared" si="429"/>
        <v>0</v>
      </c>
      <c r="T2628" s="10">
        <f t="shared" si="430"/>
        <v>0</v>
      </c>
      <c r="U2628" s="10"/>
    </row>
    <row r="2629" spans="1:21">
      <c r="A2629" s="6"/>
      <c r="B2629" s="10"/>
      <c r="C2629" s="10"/>
      <c r="D2629" s="10"/>
      <c r="E2629" s="10"/>
      <c r="F2629" s="7">
        <f t="shared" si="431"/>
        <v>0</v>
      </c>
      <c r="G2629" s="23"/>
      <c r="H2629" s="7">
        <f t="shared" si="432"/>
        <v>0</v>
      </c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9">
        <f t="shared" si="429"/>
        <v>0</v>
      </c>
      <c r="T2629" s="10">
        <f t="shared" si="430"/>
        <v>0</v>
      </c>
      <c r="U2629" s="10"/>
    </row>
    <row r="2630" spans="1:21">
      <c r="A2630" s="6"/>
      <c r="B2630" s="10"/>
      <c r="C2630" s="10"/>
      <c r="D2630" s="10"/>
      <c r="E2630" s="10"/>
      <c r="F2630" s="7">
        <f t="shared" si="431"/>
        <v>0</v>
      </c>
      <c r="G2630" s="23"/>
      <c r="H2630" s="7">
        <f t="shared" si="432"/>
        <v>0</v>
      </c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9">
        <f t="shared" si="429"/>
        <v>0</v>
      </c>
      <c r="T2630" s="10">
        <f t="shared" si="430"/>
        <v>0</v>
      </c>
      <c r="U2630" s="10"/>
    </row>
    <row r="2631" spans="1:21">
      <c r="A2631" s="6"/>
      <c r="B2631" s="10"/>
      <c r="C2631" s="10"/>
      <c r="D2631" s="10"/>
      <c r="E2631" s="10"/>
      <c r="F2631" s="7">
        <f t="shared" si="431"/>
        <v>0</v>
      </c>
      <c r="G2631" s="23"/>
      <c r="H2631" s="7">
        <f t="shared" si="432"/>
        <v>0</v>
      </c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9">
        <f t="shared" ref="S2631:S2636" si="433">F2631+G2631-J2631-K2631-L2631+M2631+O2631-P2631-R2631</f>
        <v>0</v>
      </c>
      <c r="T2631" s="10">
        <f t="shared" ref="T2631:T2636" si="434">H2631+I2631+N2631+R2631-Q2631</f>
        <v>0</v>
      </c>
      <c r="U2631" s="10"/>
    </row>
    <row r="2632" spans="1:21">
      <c r="A2632" s="6"/>
      <c r="B2632" s="10"/>
      <c r="C2632" s="10"/>
      <c r="D2632" s="10"/>
      <c r="E2632" s="10"/>
      <c r="F2632" s="7">
        <f t="shared" si="431"/>
        <v>0</v>
      </c>
      <c r="G2632" s="23"/>
      <c r="H2632" s="7">
        <f t="shared" si="432"/>
        <v>0</v>
      </c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9">
        <f t="shared" si="433"/>
        <v>0</v>
      </c>
      <c r="T2632" s="10">
        <f t="shared" si="434"/>
        <v>0</v>
      </c>
      <c r="U2632" s="10"/>
    </row>
    <row r="2633" spans="1:21">
      <c r="A2633" s="6"/>
      <c r="B2633" s="10"/>
      <c r="C2633" s="10"/>
      <c r="D2633" s="10"/>
      <c r="E2633" s="10"/>
      <c r="F2633" s="7">
        <f t="shared" si="431"/>
        <v>0</v>
      </c>
      <c r="G2633" s="23"/>
      <c r="H2633" s="7">
        <f t="shared" si="432"/>
        <v>0</v>
      </c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9">
        <f t="shared" si="433"/>
        <v>0</v>
      </c>
      <c r="T2633" s="10">
        <f t="shared" si="434"/>
        <v>0</v>
      </c>
      <c r="U2633" s="10"/>
    </row>
    <row r="2634" spans="1:21">
      <c r="A2634" s="6"/>
      <c r="B2634" s="10"/>
      <c r="C2634" s="10"/>
      <c r="D2634" s="10"/>
      <c r="E2634" s="10"/>
      <c r="F2634" s="7">
        <f t="shared" si="431"/>
        <v>0</v>
      </c>
      <c r="G2634" s="23"/>
      <c r="H2634" s="7">
        <f t="shared" si="432"/>
        <v>0</v>
      </c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9">
        <f t="shared" si="433"/>
        <v>0</v>
      </c>
      <c r="T2634" s="10">
        <f t="shared" si="434"/>
        <v>0</v>
      </c>
      <c r="U2634" s="10"/>
    </row>
    <row r="2635" spans="1:21">
      <c r="A2635" s="6"/>
      <c r="B2635" s="10"/>
      <c r="C2635" s="10"/>
      <c r="D2635" s="10"/>
      <c r="E2635" s="10"/>
      <c r="F2635" s="7">
        <f t="shared" si="431"/>
        <v>0</v>
      </c>
      <c r="G2635" s="23"/>
      <c r="H2635" s="7">
        <f t="shared" si="432"/>
        <v>0</v>
      </c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9">
        <f t="shared" si="433"/>
        <v>0</v>
      </c>
      <c r="T2635" s="10">
        <f t="shared" si="434"/>
        <v>0</v>
      </c>
      <c r="U2635" s="10"/>
    </row>
    <row r="2636" spans="1:21">
      <c r="A2636" s="6"/>
      <c r="B2636" s="10"/>
      <c r="C2636" s="10"/>
      <c r="D2636" s="10"/>
      <c r="E2636" s="10"/>
      <c r="F2636" s="7">
        <f t="shared" si="431"/>
        <v>0</v>
      </c>
      <c r="G2636" s="23"/>
      <c r="H2636" s="7">
        <f t="shared" si="432"/>
        <v>0</v>
      </c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9">
        <f t="shared" si="433"/>
        <v>0</v>
      </c>
      <c r="T2636" s="10">
        <f t="shared" si="434"/>
        <v>0</v>
      </c>
      <c r="U2636" s="10"/>
    </row>
  </sheetData>
  <autoFilter xmlns:etc="http://www.wps.cn/officeDocument/2017/etCustomData" ref="A1:Y2636" etc:filterBottomFollowUsedRange="0">
    <extLst/>
  </autoFilter>
  <mergeCells count="31">
    <mergeCell ref="A2:A86"/>
    <mergeCell ref="A87:A171"/>
    <mergeCell ref="A172:A256"/>
    <mergeCell ref="A257:A341"/>
    <mergeCell ref="A342:A426"/>
    <mergeCell ref="A427:A511"/>
    <mergeCell ref="A512:A596"/>
    <mergeCell ref="A597:A681"/>
    <mergeCell ref="A682:A766"/>
    <mergeCell ref="A767:A851"/>
    <mergeCell ref="A852:A936"/>
    <mergeCell ref="A937:A1021"/>
    <mergeCell ref="A1022:A1106"/>
    <mergeCell ref="A1107:A1191"/>
    <mergeCell ref="A1192:A1276"/>
    <mergeCell ref="A1277:A1361"/>
    <mergeCell ref="A1362:A1446"/>
    <mergeCell ref="A1447:A1531"/>
    <mergeCell ref="A1532:A1616"/>
    <mergeCell ref="A1617:A1701"/>
    <mergeCell ref="A1702:A1786"/>
    <mergeCell ref="A1787:A1871"/>
    <mergeCell ref="A1872:A1956"/>
    <mergeCell ref="A1957:A2041"/>
    <mergeCell ref="A2042:A2126"/>
    <mergeCell ref="A2127:A2211"/>
    <mergeCell ref="A2212:A2296"/>
    <mergeCell ref="A2297:A2381"/>
    <mergeCell ref="A2382:A2466"/>
    <mergeCell ref="A2467:A2551"/>
    <mergeCell ref="A2552:A2636"/>
  </mergeCells>
  <pageMargins left="0.7" right="0.7" top="0.75" bottom="0.75" header="0.3" footer="0.3"/>
  <pageSetup paperSize="9" orientation="portrait"/>
  <headerFooter/>
  <ignoredErrors>
    <ignoredError sqref="F9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WPS_1178350525</cp:lastModifiedBy>
  <dcterms:created xsi:type="dcterms:W3CDTF">2023-02-21T05:08:00Z</dcterms:created>
  <dcterms:modified xsi:type="dcterms:W3CDTF">2026-05-29T09:31:56Z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55552000A1C5467F9B664B53D736B88D_13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