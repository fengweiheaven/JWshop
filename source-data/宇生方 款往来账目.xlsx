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805" activeTab="2"/>
  </bookViews>
  <sheets>
    <sheet name="银行卡" sheetId="3" r:id="rId1"/>
    <sheet name="挂帐" sheetId="1" r:id="rId2"/>
    <sheet name="内部收款" sheetId="6" r:id="rId3"/>
    <sheet name="投资款" sheetId="2" r:id="rId4"/>
    <sheet name="账号密码" sheetId="4" r:id="rId5"/>
    <sheet name="商品池" sheetId="5" r:id="rId6"/>
    <sheet name="Sheet1" sheetId="7" r:id="rId7"/>
  </sheets>
  <definedNames>
    <definedName name="_xlnm._FilterDatabase" localSheetId="3" hidden="1">投资款!$A$1:$F$7</definedName>
    <definedName name="_xlnm._FilterDatabase" localSheetId="1" hidden="1">挂帐!$B$1:$G$200</definedName>
    <definedName name="_xlnm._FilterDatabase" localSheetId="2" hidden="1">内部收款!$A$1:$E$89</definedName>
    <definedName name="_xlnm._FilterDatabase" localSheetId="0" hidden="1">银行卡!$A$1:$J$71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<sst xmlns="http://schemas.openxmlformats.org/spreadsheetml/2006/main" count="1097" uniqueCount="231">
  <si>
    <t>日期</t>
  </si>
  <si>
    <t>收入名称</t>
  </si>
  <si>
    <t>收入费用</t>
  </si>
  <si>
    <t>收入备注</t>
  </si>
  <si>
    <t>支出名称</t>
  </si>
  <si>
    <t>支出费用</t>
  </si>
  <si>
    <t>支出备注</t>
  </si>
  <si>
    <t>LJ记账户头金额</t>
  </si>
  <si>
    <t>实际户头余额</t>
  </si>
  <si>
    <t>差异</t>
  </si>
  <si>
    <t>多多提现</t>
  </si>
  <si>
    <t>货款提现</t>
  </si>
  <si>
    <t>转账</t>
  </si>
  <si>
    <t>转账到招商</t>
  </si>
  <si>
    <t>转账手续费</t>
  </si>
  <si>
    <t>年费</t>
  </si>
  <si>
    <t>一车怡宝货款</t>
  </si>
  <si>
    <t>汇总</t>
  </si>
  <si>
    <t>名称</t>
  </si>
  <si>
    <t>金额</t>
  </si>
  <si>
    <t>用途</t>
  </si>
  <si>
    <t>支付人</t>
  </si>
  <si>
    <t>还款日期</t>
  </si>
  <si>
    <t>是否已冲抵</t>
  </si>
  <si>
    <t>多多保证金</t>
  </si>
  <si>
    <t>丁微信支付</t>
  </si>
  <si>
    <t>第一批进货</t>
  </si>
  <si>
    <t>进货</t>
  </si>
  <si>
    <t>投资款招商</t>
  </si>
  <si>
    <t>第二批进货</t>
  </si>
  <si>
    <t>王老吉订货预付款</t>
  </si>
  <si>
    <t>第二批进货补款</t>
  </si>
  <si>
    <t>草原雄鹰预付款</t>
  </si>
  <si>
    <t>王老吉货款</t>
  </si>
  <si>
    <t>转货</t>
  </si>
  <si>
    <t>接手别人的转货</t>
  </si>
  <si>
    <t>加多宝订货预付款</t>
  </si>
  <si>
    <t>拼多多卢哥店保证金</t>
  </si>
  <si>
    <t>外星人订货预付款</t>
  </si>
  <si>
    <t>加多宝货款</t>
  </si>
  <si>
    <t>大奎外星人定金</t>
  </si>
  <si>
    <t>外星人货款</t>
  </si>
  <si>
    <t>娟第三方公司支付</t>
  </si>
  <si>
    <t>转投资</t>
  </si>
  <si>
    <t>11月云仓费</t>
  </si>
  <si>
    <t>订货预付款</t>
  </si>
  <si>
    <t>建行手续费</t>
  </si>
  <si>
    <t>建行年费</t>
  </si>
  <si>
    <t>建行支付</t>
  </si>
  <si>
    <t>娃哈哈苏打水货款</t>
  </si>
  <si>
    <t>卢哥建行年费</t>
  </si>
  <si>
    <t>怡宝货款</t>
  </si>
  <si>
    <t>第三批进货</t>
  </si>
  <si>
    <t>建行对公支付</t>
  </si>
  <si>
    <t>娃哈哈纯净水</t>
  </si>
  <si>
    <t>大窑货款</t>
  </si>
  <si>
    <t>招商支付</t>
  </si>
  <si>
    <t>大窑物流</t>
  </si>
  <si>
    <t>全家欢定金</t>
  </si>
  <si>
    <t>百世可乐第一批</t>
  </si>
  <si>
    <t>百世可乐第一批货款</t>
  </si>
  <si>
    <t>加多宝24入货款</t>
  </si>
  <si>
    <t>娟独资</t>
  </si>
  <si>
    <t>这里有1000块定金</t>
  </si>
  <si>
    <t>百世可乐第二批</t>
  </si>
  <si>
    <t>百世可乐第二批货款</t>
  </si>
  <si>
    <t>杨星</t>
  </si>
  <si>
    <t>欢乐家</t>
  </si>
  <si>
    <t>第四批进货</t>
  </si>
  <si>
    <t>娃哈哈红标水定金</t>
  </si>
  <si>
    <t>12月云仓费用</t>
  </si>
  <si>
    <t>法人分红</t>
  </si>
  <si>
    <t>娟卖货分红</t>
  </si>
  <si>
    <t>巍卖货分红</t>
  </si>
  <si>
    <t>姑娘定金</t>
  </si>
  <si>
    <t>卖加多宝返点</t>
  </si>
  <si>
    <t>加多宝定金</t>
  </si>
  <si>
    <t>雪碧货款</t>
  </si>
  <si>
    <t>第五批进货</t>
  </si>
  <si>
    <t>定金预付款</t>
  </si>
  <si>
    <t>加多宝第一挂车货款</t>
  </si>
  <si>
    <t>加多宝第一挂车货款-补给倒爷</t>
  </si>
  <si>
    <t>娟微信支付</t>
  </si>
  <si>
    <t>加多宝第二挂车货款</t>
  </si>
  <si>
    <t>加多宝第二挂车货款-补给倒爷</t>
  </si>
  <si>
    <t>苏打水第六批进货</t>
  </si>
  <si>
    <t xml:space="preserve"> 雪碧可乐货款</t>
  </si>
  <si>
    <t>雪碧可乐货款</t>
  </si>
  <si>
    <t>2L雪碧货款</t>
  </si>
  <si>
    <t>2L可乐货款</t>
  </si>
  <si>
    <t>苏打水第七批进货</t>
  </si>
  <si>
    <t>可乐货款</t>
  </si>
  <si>
    <t>订货定金</t>
  </si>
  <si>
    <t>微信提现手续费</t>
  </si>
  <si>
    <t>定金</t>
  </si>
  <si>
    <t>1月云仓费</t>
  </si>
  <si>
    <t>苏打水货款</t>
  </si>
  <si>
    <t>三个店铺财务费</t>
  </si>
  <si>
    <t>三个店铺法人分红</t>
  </si>
  <si>
    <t>卢哥交税</t>
  </si>
  <si>
    <t>退还娟投资</t>
  </si>
  <si>
    <t>500可乐雪碧货款</t>
  </si>
  <si>
    <t>2月云仓费</t>
  </si>
  <si>
    <t>2月法人分红</t>
  </si>
  <si>
    <t>吸猫货款</t>
  </si>
  <si>
    <t>投资款招商（小丽給）</t>
  </si>
  <si>
    <t>桶装水货款</t>
  </si>
  <si>
    <t>桶装水运费</t>
  </si>
  <si>
    <t>订金</t>
  </si>
  <si>
    <t>娃哈哈纯水货款</t>
  </si>
  <si>
    <t>农夫山泉货款</t>
  </si>
  <si>
    <t>大窑运费</t>
  </si>
  <si>
    <t>苏打水运费</t>
  </si>
  <si>
    <t>平掌柜苏打水货款</t>
  </si>
  <si>
    <t>吸喵时刻苏打水货款</t>
  </si>
  <si>
    <t>3月云仓费</t>
  </si>
  <si>
    <t>分红</t>
  </si>
  <si>
    <t>3月分红</t>
  </si>
  <si>
    <t>脉动货款</t>
  </si>
  <si>
    <t>怡宝买袋子的钱</t>
  </si>
  <si>
    <t>翻板费</t>
  </si>
  <si>
    <t>民宿定金</t>
  </si>
  <si>
    <t>第一季度税费</t>
  </si>
  <si>
    <t>可乐雪碧货款</t>
  </si>
  <si>
    <t>仓库买小苏打</t>
  </si>
  <si>
    <t>娃哈哈货款</t>
  </si>
  <si>
    <t>购买包装袋</t>
  </si>
  <si>
    <t>4月云仓费</t>
  </si>
  <si>
    <t>民宿尾款</t>
  </si>
  <si>
    <t>4月分红</t>
  </si>
  <si>
    <t>时间</t>
  </si>
  <si>
    <t>收款人</t>
  </si>
  <si>
    <t>退款</t>
  </si>
  <si>
    <t>草原雄鹰预付款退款</t>
  </si>
  <si>
    <t>丁微信收取</t>
  </si>
  <si>
    <t>王老吉破损</t>
  </si>
  <si>
    <t>巍微信收取</t>
  </si>
  <si>
    <t>加多宝破损</t>
  </si>
  <si>
    <t>外星人破损</t>
  </si>
  <si>
    <t>娃哈哈苏打水定金</t>
  </si>
  <si>
    <t>娃哈哈苏打水破损</t>
  </si>
  <si>
    <t>怡宝破损赔付</t>
  </si>
  <si>
    <t>怡宝破损</t>
  </si>
  <si>
    <t>娃哈哈纯净水破损赔付</t>
  </si>
  <si>
    <t>娃哈哈退定金</t>
  </si>
  <si>
    <t>大奎退款</t>
  </si>
  <si>
    <t>可乐定金</t>
  </si>
  <si>
    <t>大窑破损赔付</t>
  </si>
  <si>
    <t>王老吉买走634件</t>
  </si>
  <si>
    <t>招商收取</t>
  </si>
  <si>
    <t>小李订货预付款退款</t>
  </si>
  <si>
    <t>娃哈哈苏打水定金退款</t>
  </si>
  <si>
    <t>怡宝送错仓库货款</t>
  </si>
  <si>
    <t>娃哈哈苏打水订货预付款退款</t>
  </si>
  <si>
    <t>订货预付款退款</t>
  </si>
  <si>
    <t>百世可乐赔付</t>
  </si>
  <si>
    <t>百世可乐破损赔付</t>
  </si>
  <si>
    <t>王老吉买走249件</t>
  </si>
  <si>
    <t>欢乐家定金退回</t>
  </si>
  <si>
    <t>娃哈哈红标水定金退回</t>
  </si>
  <si>
    <t>外星人卖货收入</t>
  </si>
  <si>
    <t>招行收取</t>
  </si>
  <si>
    <t>加多宝卖货</t>
  </si>
  <si>
    <t>雪碧破损赔付</t>
  </si>
  <si>
    <t>娃哈哈苏打水破损赔付</t>
  </si>
  <si>
    <t>娃哈哈苏打水卖50件破损</t>
  </si>
  <si>
    <t>娃哈哈苏打水卖破损</t>
  </si>
  <si>
    <t>第一车加多宝赔付</t>
  </si>
  <si>
    <t>第二车加多宝赔付</t>
  </si>
  <si>
    <t>定金退回</t>
  </si>
  <si>
    <t>大窑搬运赔付</t>
  </si>
  <si>
    <t>大窑司机赔付</t>
  </si>
  <si>
    <t>欢乐家卖货</t>
  </si>
  <si>
    <t>外星人赔付</t>
  </si>
  <si>
    <t>雪碧赔付</t>
  </si>
  <si>
    <t>可乐赔付</t>
  </si>
  <si>
    <t>大窑赔付</t>
  </si>
  <si>
    <t>苏打水少装货退款</t>
  </si>
  <si>
    <t>苏打水少装货退款（含1000定金微信提现）</t>
  </si>
  <si>
    <t>外星人买走货款</t>
  </si>
  <si>
    <t>仓库卖出大窑+核桃汁</t>
  </si>
  <si>
    <t>仓库卖出2件可乐</t>
  </si>
  <si>
    <t>椰汁，核桃汁赔付</t>
  </si>
  <si>
    <t>雪碧可乐赔付</t>
  </si>
  <si>
    <t>苏打水赔付</t>
  </si>
  <si>
    <t>买走10件怡宝</t>
  </si>
  <si>
    <t>结息</t>
  </si>
  <si>
    <t>大窑卖货</t>
  </si>
  <si>
    <t>退订金</t>
  </si>
  <si>
    <t>招行收取（小丽收）</t>
  </si>
  <si>
    <t>桶装水赔付</t>
  </si>
  <si>
    <t>农夫山泉赔付</t>
  </si>
  <si>
    <t>娃哈哈赔付</t>
  </si>
  <si>
    <t>怡宝卖货13件</t>
  </si>
  <si>
    <t>脉动赔付</t>
  </si>
  <si>
    <t>大窑退货款</t>
  </si>
  <si>
    <t>重庆苏打水赔付</t>
  </si>
  <si>
    <t>翻板费用</t>
  </si>
  <si>
    <t>可乐雪碧赔付</t>
  </si>
  <si>
    <t>怡宝赔款</t>
  </si>
  <si>
    <t>王老吉定金</t>
  </si>
  <si>
    <t>王老吉买走</t>
  </si>
  <si>
    <t>卖一件娃哈哈</t>
  </si>
  <si>
    <t>娃哈哈赔款</t>
  </si>
  <si>
    <t>卖加多宝尾货</t>
  </si>
  <si>
    <t>加多宝赔付</t>
  </si>
  <si>
    <t>王老吉赔付</t>
  </si>
  <si>
    <t>名字</t>
  </si>
  <si>
    <t>备注</t>
  </si>
  <si>
    <t>还款时间</t>
  </si>
  <si>
    <t>还款金额</t>
  </si>
  <si>
    <t>娟</t>
  </si>
  <si>
    <t>投资款</t>
  </si>
  <si>
    <t>巍</t>
  </si>
  <si>
    <t>（娟）</t>
  </si>
  <si>
    <t>魏</t>
  </si>
  <si>
    <t>账号：18180492001</t>
  </si>
  <si>
    <t>密码：Liujuan19860319@</t>
  </si>
  <si>
    <t>序号</t>
  </si>
  <si>
    <t>多多编码</t>
  </si>
  <si>
    <t>整箱条码</t>
  </si>
  <si>
    <t>单瓶条码</t>
  </si>
  <si>
    <t>产品名称</t>
  </si>
  <si>
    <t>箱规</t>
  </si>
  <si>
    <t>产地</t>
  </si>
  <si>
    <t>保质期</t>
  </si>
  <si>
    <t>外包装箱体积（cm）</t>
  </si>
  <si>
    <t>一车</t>
  </si>
  <si>
    <t>长</t>
  </si>
  <si>
    <t>宽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</si>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</sst>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yyyy/m/d;@"/>
    <numFmt numFmtId="179" formatCode="#,##0_ "/>
    <numFmt numFmtId="180" formatCode="0.00_ "/>
    <numFmt numFmtId="181" formatCode="0.0_ "/>
    <numFmt numFmtId="182" formatCode="#,##0.0_ "/>
  </numFmts>
  <fonts count="31">
    <font>
      <sz val="11"/>
      <color theme="1"/>
      <name val="宋体"/>
      <charset val="134"/>
      <scheme val="minor"/>
    </font>
    <font>
      <sz val="9"/>
      <color theme="1"/>
      <name val="-webkit-standard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等线"/>
      <charset val="134"/>
    </font>
    <font>
      <b/>
      <sz val="11"/>
      <color theme="1"/>
      <name val="微软雅黑"/>
      <charset val="134"/>
    </font>
    <font>
      <b/>
      <sz val="11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3" fillId="4" borderId="1" xfId="0" applyNumberFormat="1" applyFont="1" applyFill="1" applyBorder="1" applyAlignment="1">
      <alignment vertical="center"/>
    </xf>
    <xf numFmtId="0" fontId="0" fillId="5" borderId="1" xfId="0" applyFill="1" applyBorder="1">
      <alignment vertical="center"/>
    </xf>
    <xf numFmtId="179" fontId="0" fillId="5" borderId="1" xfId="0" applyNumberFormat="1" applyFill="1" applyBorder="1">
      <alignment vertical="center"/>
    </xf>
    <xf numFmtId="0" fontId="0" fillId="6" borderId="0" xfId="0" applyFill="1">
      <alignment vertical="center"/>
    </xf>
    <xf numFmtId="0" fontId="4" fillId="7" borderId="1" xfId="0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178" fontId="5" fillId="6" borderId="1" xfId="0" applyNumberFormat="1" applyFont="1" applyFill="1" applyBorder="1" applyAlignment="1">
      <alignment horizontal="left" vertical="center"/>
    </xf>
    <xf numFmtId="178" fontId="7" fillId="6" borderId="1" xfId="0" applyNumberFormat="1" applyFont="1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left" vertical="center"/>
    </xf>
    <xf numFmtId="14" fontId="6" fillId="6" borderId="1" xfId="0" applyNumberFormat="1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14" fontId="6" fillId="0" borderId="1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vertical="top"/>
    </xf>
    <xf numFmtId="0" fontId="8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/>
    </xf>
    <xf numFmtId="178" fontId="5" fillId="6" borderId="1" xfId="0" applyNumberFormat="1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6" fillId="6" borderId="0" xfId="0" applyFont="1" applyFill="1" applyBorder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178" fontId="5" fillId="10" borderId="1" xfId="0" applyNumberFormat="1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6" fillId="10" borderId="0" xfId="0" applyFont="1" applyFill="1" applyBorder="1" applyAlignment="1">
      <alignment horizontal="left" vertical="top"/>
    </xf>
    <xf numFmtId="178" fontId="5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6" fillId="9" borderId="0" xfId="0" applyFont="1" applyFill="1" applyAlignment="1">
      <alignment horizontal="left" vertical="top"/>
    </xf>
    <xf numFmtId="0" fontId="6" fillId="6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5" borderId="0" xfId="0" applyFont="1" applyFill="1" applyAlignment="1">
      <alignment horizontal="left" vertical="center"/>
    </xf>
    <xf numFmtId="180" fontId="6" fillId="0" borderId="1" xfId="0" applyNumberFormat="1" applyFont="1" applyBorder="1" applyAlignment="1">
      <alignment horizontal="left" vertical="center"/>
    </xf>
    <xf numFmtId="181" fontId="6" fillId="0" borderId="1" xfId="0" applyNumberFormat="1" applyFont="1" applyBorder="1" applyAlignment="1">
      <alignment horizontal="left" vertical="center"/>
    </xf>
    <xf numFmtId="179" fontId="0" fillId="0" borderId="0" xfId="0" applyNumberFormat="1">
      <alignment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11" borderId="1" xfId="0" applyFont="1" applyFill="1" applyBorder="1" applyAlignment="1" applyProtection="1">
      <alignment horizontal="center" vertical="center"/>
    </xf>
    <xf numFmtId="179" fontId="9" fillId="11" borderId="1" xfId="0" applyNumberFormat="1" applyFont="1" applyFill="1" applyBorder="1" applyAlignment="1" applyProtection="1">
      <alignment horizontal="center" vertical="center"/>
    </xf>
    <xf numFmtId="0" fontId="9" fillId="12" borderId="1" xfId="0" applyFont="1" applyFill="1" applyBorder="1" applyAlignment="1" applyProtection="1">
      <alignment horizontal="center" vertical="center"/>
    </xf>
    <xf numFmtId="182" fontId="9" fillId="12" borderId="1" xfId="0" applyNumberFormat="1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vertical="center"/>
    </xf>
    <xf numFmtId="179" fontId="0" fillId="0" borderId="1" xfId="0" applyNumberFormat="1" applyBorder="1">
      <alignment vertical="center"/>
    </xf>
    <xf numFmtId="0" fontId="9" fillId="4" borderId="1" xfId="0" applyFont="1" applyFill="1" applyBorder="1" applyAlignment="1"/>
    <xf numFmtId="179" fontId="9" fillId="4" borderId="1" xfId="0" applyNumberFormat="1" applyFont="1" applyFill="1" applyBorder="1" applyAlignment="1"/>
    <xf numFmtId="182" fontId="9" fillId="4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zoomScale="130" zoomScaleNormal="130" topLeftCell="A32" workbookViewId="0">
      <selection activeCell="E61" sqref="E61"/>
    </sheetView>
  </sheetViews>
  <sheetFormatPr defaultColWidth="9.23333333333333" defaultRowHeight="13.5"/>
  <cols>
    <col min="1" max="1" width="23.3916666666667" customWidth="1"/>
    <col min="2" max="2" width="18.2583333333333" customWidth="1"/>
    <col min="3" max="3" width="19.225" style="64" customWidth="1"/>
    <col min="4" max="4" width="35.2583333333333" customWidth="1"/>
    <col min="5" max="5" width="36.7" customWidth="1"/>
    <col min="6" max="6" width="20.6666666666667" customWidth="1"/>
    <col min="7" max="7" width="44.3916666666667" customWidth="1"/>
    <col min="8" max="8" width="12.6666666666667" customWidth="1"/>
    <col min="9" max="9" width="12.975" customWidth="1"/>
    <col min="10" max="10" width="12.925"/>
  </cols>
  <sheetData>
    <row r="1" ht="28.5" spans="1:10">
      <c r="A1" s="65" t="s">
        <v>0</v>
      </c>
      <c r="B1" s="66" t="s">
        <v>1</v>
      </c>
      <c r="C1" s="67" t="s">
        <v>2</v>
      </c>
      <c r="D1" s="66" t="s">
        <v>3</v>
      </c>
      <c r="E1" s="68" t="s">
        <v>4</v>
      </c>
      <c r="F1" s="69" t="s">
        <v>5</v>
      </c>
      <c r="G1" s="68" t="s">
        <v>6</v>
      </c>
      <c r="H1" s="70" t="s">
        <v>7</v>
      </c>
      <c r="I1" s="71" t="s">
        <v>8</v>
      </c>
      <c r="J1" s="72" t="s">
        <v>9</v>
      </c>
    </row>
    <row r="2" spans="1:10">
      <c r="A2" s="73">
        <v>46003</v>
      </c>
      <c r="B2" s="11" t="s">
        <v>10</v>
      </c>
      <c r="C2" s="74">
        <v>72000</v>
      </c>
      <c r="D2" s="11" t="s">
        <v>11</v>
      </c>
      <c r="E2" s="11" t="s">
        <v>12</v>
      </c>
      <c r="F2" s="11">
        <v>25000</v>
      </c>
      <c r="G2" s="11" t="s">
        <v>13</v>
      </c>
      <c r="H2">
        <f>SUM(C2:C56)-SUM(F2:F53)</f>
        <v>140000</v>
      </c>
      <c r="I2">
        <v>0</v>
      </c>
      <c r="J2">
        <f>H2-I2</f>
        <v>140000</v>
      </c>
    </row>
    <row r="3" customFormat="1" spans="1:10">
      <c r="A3" s="73">
        <v>46003</v>
      </c>
      <c r="B3" s="11"/>
      <c r="C3" s="74"/>
      <c r="D3" s="11"/>
      <c r="E3" s="11" t="s">
        <v>12</v>
      </c>
      <c r="F3" s="11">
        <v>2</v>
      </c>
      <c r="G3" s="11" t="s">
        <v>14</v>
      </c>
    </row>
    <row r="4" customFormat="1" spans="1:10">
      <c r="A4" s="73">
        <v>46003</v>
      </c>
      <c r="B4" s="11"/>
      <c r="C4" s="74"/>
      <c r="D4" s="11"/>
      <c r="E4" s="11" t="s">
        <v>15</v>
      </c>
      <c r="F4" s="11">
        <v>618</v>
      </c>
      <c r="G4" s="11" t="s">
        <v>15</v>
      </c>
    </row>
    <row r="5" customFormat="1" spans="1:10">
      <c r="A5" s="73">
        <v>46005</v>
      </c>
      <c r="B5" s="11" t="s">
        <v>10</v>
      </c>
      <c r="C5" s="74">
        <v>10000</v>
      </c>
      <c r="D5" s="11" t="s">
        <v>11</v>
      </c>
      <c r="E5" s="11" t="s">
        <v>12</v>
      </c>
      <c r="F5" s="11">
        <v>42700</v>
      </c>
      <c r="G5" s="11" t="s">
        <v>16</v>
      </c>
    </row>
    <row r="6" spans="1:10">
      <c r="A6" s="73">
        <v>46007</v>
      </c>
      <c r="B6" s="11" t="s">
        <v>10</v>
      </c>
      <c r="C6" s="74">
        <v>8000</v>
      </c>
      <c r="D6" s="11" t="s">
        <v>11</v>
      </c>
      <c r="E6" s="11" t="s">
        <v>12</v>
      </c>
      <c r="F6" s="11">
        <v>21680</v>
      </c>
      <c r="G6" s="11" t="s">
        <v>13</v>
      </c>
    </row>
    <row r="7" spans="1:10">
      <c r="A7" s="73">
        <v>46008</v>
      </c>
      <c r="B7" s="11" t="s">
        <v>10</v>
      </c>
      <c r="C7" s="74">
        <v>4000</v>
      </c>
      <c r="D7" s="11" t="s">
        <v>11</v>
      </c>
      <c r="E7" s="11"/>
      <c r="F7" s="11"/>
      <c r="G7" s="11"/>
    </row>
    <row r="8" spans="1:10">
      <c r="A8" s="73">
        <v>46009</v>
      </c>
      <c r="B8" s="11" t="s">
        <v>10</v>
      </c>
      <c r="C8" s="74">
        <v>16000</v>
      </c>
      <c r="D8" s="11" t="s">
        <v>11</v>
      </c>
      <c r="E8" s="11" t="s">
        <v>12</v>
      </c>
      <c r="F8" s="11">
        <v>20000</v>
      </c>
      <c r="G8" s="11" t="s">
        <v>13</v>
      </c>
    </row>
    <row r="9" spans="1:10">
      <c r="A9" s="73">
        <v>46010</v>
      </c>
      <c r="B9" s="11" t="s">
        <v>10</v>
      </c>
      <c r="C9" s="74">
        <v>8000</v>
      </c>
      <c r="D9" s="11" t="s">
        <v>11</v>
      </c>
      <c r="E9" s="11" t="s">
        <v>12</v>
      </c>
      <c r="F9" s="11">
        <v>8000</v>
      </c>
      <c r="G9" s="11" t="s">
        <v>13</v>
      </c>
    </row>
    <row r="10" spans="1:10">
      <c r="A10" s="73">
        <v>46011</v>
      </c>
      <c r="B10" s="11" t="s">
        <v>10</v>
      </c>
      <c r="C10" s="74">
        <v>20000</v>
      </c>
      <c r="D10" s="11" t="s">
        <v>11</v>
      </c>
      <c r="E10" s="11" t="s">
        <v>12</v>
      </c>
      <c r="F10" s="11">
        <v>20000</v>
      </c>
      <c r="G10" s="11" t="s">
        <v>13</v>
      </c>
    </row>
    <row r="11" spans="1:10">
      <c r="A11" s="73">
        <v>46012</v>
      </c>
      <c r="B11" s="11" t="s">
        <v>10</v>
      </c>
      <c r="C11" s="74">
        <v>25000</v>
      </c>
      <c r="D11" s="11" t="s">
        <v>11</v>
      </c>
      <c r="E11" s="11" t="s">
        <v>12</v>
      </c>
      <c r="F11" s="11">
        <v>25000</v>
      </c>
      <c r="G11" s="11" t="s">
        <v>13</v>
      </c>
    </row>
    <row r="12" spans="1:10">
      <c r="A12" s="73">
        <v>46013</v>
      </c>
      <c r="B12" s="11" t="s">
        <v>10</v>
      </c>
      <c r="C12" s="74">
        <v>35000</v>
      </c>
      <c r="D12" s="11" t="s">
        <v>11</v>
      </c>
      <c r="E12" s="11" t="s">
        <v>12</v>
      </c>
      <c r="F12" s="11">
        <v>35000</v>
      </c>
      <c r="G12" s="11" t="s">
        <v>13</v>
      </c>
    </row>
    <row r="13" spans="1:10">
      <c r="A13" s="73">
        <v>46014</v>
      </c>
      <c r="B13" s="11" t="s">
        <v>10</v>
      </c>
      <c r="C13" s="74">
        <v>20000</v>
      </c>
      <c r="D13" s="11" t="s">
        <v>11</v>
      </c>
      <c r="E13" s="11"/>
      <c r="F13" s="11"/>
      <c r="G13" s="11"/>
    </row>
    <row r="14" spans="1:10">
      <c r="A14" s="73">
        <v>46015</v>
      </c>
      <c r="B14" s="11" t="s">
        <v>10</v>
      </c>
      <c r="C14" s="74">
        <v>30000</v>
      </c>
      <c r="D14" s="11" t="s">
        <v>11</v>
      </c>
      <c r="E14" s="11" t="s">
        <v>12</v>
      </c>
      <c r="F14" s="11">
        <v>50000</v>
      </c>
      <c r="G14" s="11" t="s">
        <v>13</v>
      </c>
    </row>
    <row r="15" spans="1:10">
      <c r="A15" s="73">
        <v>46016</v>
      </c>
      <c r="B15" s="11" t="s">
        <v>10</v>
      </c>
      <c r="C15" s="74">
        <v>20000</v>
      </c>
      <c r="D15" s="11" t="s">
        <v>11</v>
      </c>
      <c r="E15" s="11" t="s">
        <v>12</v>
      </c>
      <c r="F15" s="11">
        <v>20000</v>
      </c>
      <c r="G15" s="11" t="s">
        <v>13</v>
      </c>
    </row>
    <row r="16" spans="1:10">
      <c r="A16" s="73">
        <v>46017</v>
      </c>
      <c r="B16" s="11" t="s">
        <v>10</v>
      </c>
      <c r="C16" s="74">
        <v>20000</v>
      </c>
      <c r="D16" s="11" t="s">
        <v>11</v>
      </c>
      <c r="E16" s="11" t="s">
        <v>12</v>
      </c>
      <c r="F16" s="11">
        <v>20000</v>
      </c>
      <c r="G16" s="11" t="s">
        <v>13</v>
      </c>
    </row>
    <row r="17" spans="1:7">
      <c r="A17" s="73">
        <v>46023</v>
      </c>
      <c r="B17" s="11" t="s">
        <v>10</v>
      </c>
      <c r="C17" s="74">
        <v>60000</v>
      </c>
      <c r="D17" s="11" t="s">
        <v>11</v>
      </c>
      <c r="E17" s="11" t="s">
        <v>12</v>
      </c>
      <c r="F17" s="11">
        <v>50000</v>
      </c>
      <c r="G17" s="11" t="s">
        <v>13</v>
      </c>
    </row>
    <row r="18" spans="1:7">
      <c r="A18" s="73">
        <v>46024</v>
      </c>
      <c r="B18" s="11"/>
      <c r="C18" s="74"/>
      <c r="D18" s="11"/>
      <c r="E18" s="11" t="s">
        <v>12</v>
      </c>
      <c r="F18" s="11">
        <v>10000</v>
      </c>
      <c r="G18" s="11" t="s">
        <v>13</v>
      </c>
    </row>
    <row r="19" spans="1:7">
      <c r="A19" s="73">
        <v>46025</v>
      </c>
      <c r="B19" s="11" t="s">
        <v>10</v>
      </c>
      <c r="C19" s="74">
        <v>42000</v>
      </c>
      <c r="D19" s="11" t="s">
        <v>11</v>
      </c>
      <c r="E19" s="11" t="s">
        <v>12</v>
      </c>
      <c r="F19" s="11">
        <v>42000</v>
      </c>
      <c r="G19" s="11" t="s">
        <v>13</v>
      </c>
    </row>
    <row r="20" spans="1:7">
      <c r="A20" s="73">
        <v>46026</v>
      </c>
      <c r="B20" s="11" t="s">
        <v>10</v>
      </c>
      <c r="C20" s="74">
        <v>15000</v>
      </c>
      <c r="D20" s="11" t="s">
        <v>11</v>
      </c>
      <c r="E20" s="11" t="s">
        <v>12</v>
      </c>
      <c r="F20" s="11">
        <v>15000</v>
      </c>
      <c r="G20" s="11" t="s">
        <v>13</v>
      </c>
    </row>
    <row r="21" spans="1:7">
      <c r="A21" s="73">
        <v>46027</v>
      </c>
      <c r="B21" s="11" t="s">
        <v>10</v>
      </c>
      <c r="C21" s="74">
        <v>10000</v>
      </c>
      <c r="D21" s="11" t="s">
        <v>11</v>
      </c>
      <c r="E21" s="11" t="s">
        <v>12</v>
      </c>
      <c r="F21" s="11">
        <v>10000</v>
      </c>
      <c r="G21" s="11" t="s">
        <v>13</v>
      </c>
    </row>
    <row r="22" spans="1:7">
      <c r="A22" s="73">
        <v>46031</v>
      </c>
      <c r="B22" s="11" t="s">
        <v>10</v>
      </c>
      <c r="C22" s="74">
        <v>50000</v>
      </c>
      <c r="D22" s="11" t="s">
        <v>11</v>
      </c>
      <c r="E22" s="11" t="s">
        <v>12</v>
      </c>
      <c r="F22" s="11">
        <v>50000</v>
      </c>
      <c r="G22" s="11" t="s">
        <v>13</v>
      </c>
    </row>
    <row r="23" spans="1:7">
      <c r="A23" s="73">
        <v>46032</v>
      </c>
      <c r="B23" s="11" t="s">
        <v>10</v>
      </c>
      <c r="C23" s="74">
        <v>15000</v>
      </c>
      <c r="D23" s="11" t="s">
        <v>11</v>
      </c>
      <c r="E23" s="11" t="s">
        <v>12</v>
      </c>
      <c r="F23" s="11">
        <v>15000</v>
      </c>
      <c r="G23" s="11" t="s">
        <v>13</v>
      </c>
    </row>
    <row r="24" spans="1:7">
      <c r="A24" s="73">
        <v>46033</v>
      </c>
      <c r="B24" s="11" t="s">
        <v>10</v>
      </c>
      <c r="C24" s="74">
        <v>10000</v>
      </c>
      <c r="D24" s="11" t="s">
        <v>11</v>
      </c>
      <c r="E24" s="11" t="s">
        <v>12</v>
      </c>
      <c r="F24" s="11">
        <v>10000</v>
      </c>
      <c r="G24" s="11" t="s">
        <v>13</v>
      </c>
    </row>
    <row r="25" spans="1:7">
      <c r="A25" s="73">
        <v>46034</v>
      </c>
      <c r="B25" s="11" t="s">
        <v>10</v>
      </c>
      <c r="C25" s="74">
        <v>30000</v>
      </c>
      <c r="D25" s="11" t="s">
        <v>11</v>
      </c>
      <c r="E25" s="11" t="s">
        <v>12</v>
      </c>
      <c r="F25" s="11">
        <v>30000</v>
      </c>
      <c r="G25" s="11" t="s">
        <v>13</v>
      </c>
    </row>
    <row r="26" spans="1:7">
      <c r="A26" s="73">
        <v>46035</v>
      </c>
      <c r="B26" s="11" t="s">
        <v>10</v>
      </c>
      <c r="C26" s="74">
        <v>6000</v>
      </c>
      <c r="D26" s="11" t="s">
        <v>11</v>
      </c>
      <c r="E26" s="11" t="s">
        <v>12</v>
      </c>
      <c r="F26" s="11">
        <v>6000</v>
      </c>
      <c r="G26" s="11" t="s">
        <v>13</v>
      </c>
    </row>
    <row r="27" spans="1:7">
      <c r="A27" s="73">
        <v>46044</v>
      </c>
      <c r="B27" s="11" t="s">
        <v>10</v>
      </c>
      <c r="C27" s="74">
        <v>25000</v>
      </c>
      <c r="D27" s="11" t="s">
        <v>11</v>
      </c>
      <c r="E27" s="11" t="s">
        <v>12</v>
      </c>
      <c r="F27" s="11">
        <v>25000</v>
      </c>
      <c r="G27" s="11" t="s">
        <v>13</v>
      </c>
    </row>
    <row r="28" spans="1:7">
      <c r="A28" s="73">
        <v>46048</v>
      </c>
      <c r="B28" s="11" t="s">
        <v>10</v>
      </c>
      <c r="C28" s="74">
        <v>30000</v>
      </c>
      <c r="D28" s="11" t="s">
        <v>11</v>
      </c>
      <c r="E28" s="11" t="s">
        <v>12</v>
      </c>
      <c r="F28" s="11">
        <v>30000</v>
      </c>
      <c r="G28" s="11" t="s">
        <v>13</v>
      </c>
    </row>
    <row r="29" spans="1:7">
      <c r="A29" s="73">
        <v>46049</v>
      </c>
      <c r="B29" s="11" t="s">
        <v>10</v>
      </c>
      <c r="C29" s="74">
        <v>40000</v>
      </c>
      <c r="D29" s="11" t="s">
        <v>11</v>
      </c>
      <c r="E29" s="11" t="s">
        <v>12</v>
      </c>
      <c r="F29" s="11">
        <v>40000</v>
      </c>
      <c r="G29" s="11" t="s">
        <v>13</v>
      </c>
    </row>
    <row r="30" spans="1:7">
      <c r="A30" s="73">
        <v>46050</v>
      </c>
      <c r="B30" s="11" t="s">
        <v>10</v>
      </c>
      <c r="C30" s="74">
        <v>20000</v>
      </c>
      <c r="D30" s="11" t="s">
        <v>11</v>
      </c>
      <c r="E30" s="11" t="s">
        <v>12</v>
      </c>
      <c r="F30" s="11">
        <v>20000</v>
      </c>
      <c r="G30" s="11" t="s">
        <v>13</v>
      </c>
    </row>
    <row r="31" spans="1:7">
      <c r="A31" s="73">
        <v>46051</v>
      </c>
      <c r="B31" s="11" t="s">
        <v>10</v>
      </c>
      <c r="C31" s="74">
        <v>50000</v>
      </c>
      <c r="D31" s="11" t="s">
        <v>11</v>
      </c>
      <c r="E31" s="11" t="s">
        <v>12</v>
      </c>
      <c r="F31" s="11">
        <v>50000</v>
      </c>
      <c r="G31" s="11" t="s">
        <v>13</v>
      </c>
    </row>
    <row r="32" customFormat="1" spans="1:7">
      <c r="A32" s="73">
        <v>46052</v>
      </c>
      <c r="B32" s="11" t="s">
        <v>10</v>
      </c>
      <c r="C32" s="74">
        <v>50000</v>
      </c>
      <c r="D32" s="11" t="s">
        <v>11</v>
      </c>
      <c r="E32" s="11" t="s">
        <v>12</v>
      </c>
      <c r="F32" s="11">
        <v>50000</v>
      </c>
      <c r="G32" s="11" t="s">
        <v>13</v>
      </c>
    </row>
    <row r="33" customFormat="1" spans="1:7">
      <c r="A33" s="73">
        <v>46053</v>
      </c>
      <c r="B33" s="11" t="s">
        <v>10</v>
      </c>
      <c r="C33" s="74">
        <v>30000</v>
      </c>
      <c r="D33" s="11" t="s">
        <v>11</v>
      </c>
      <c r="E33" s="11" t="s">
        <v>12</v>
      </c>
      <c r="F33" s="11">
        <v>30000</v>
      </c>
      <c r="G33" s="11" t="s">
        <v>13</v>
      </c>
    </row>
    <row r="34" customFormat="1" spans="1:7">
      <c r="A34" s="73">
        <v>46054</v>
      </c>
      <c r="B34" s="11" t="s">
        <v>10</v>
      </c>
      <c r="C34" s="74">
        <v>30000</v>
      </c>
      <c r="D34" s="11" t="s">
        <v>11</v>
      </c>
      <c r="E34" s="11" t="s">
        <v>12</v>
      </c>
      <c r="F34" s="11">
        <v>30000</v>
      </c>
      <c r="G34" s="11" t="s">
        <v>13</v>
      </c>
    </row>
    <row r="35" customFormat="1" spans="1:7">
      <c r="A35" s="73">
        <v>46055</v>
      </c>
      <c r="B35" s="11" t="s">
        <v>10</v>
      </c>
      <c r="C35" s="74">
        <v>50000</v>
      </c>
      <c r="D35" s="11" t="s">
        <v>11</v>
      </c>
      <c r="E35" s="11" t="s">
        <v>12</v>
      </c>
      <c r="F35" s="11">
        <v>50000</v>
      </c>
      <c r="G35" s="11" t="s">
        <v>13</v>
      </c>
    </row>
    <row r="36" spans="1:7">
      <c r="A36" s="73">
        <v>46056</v>
      </c>
      <c r="B36" s="11" t="s">
        <v>10</v>
      </c>
      <c r="C36" s="74">
        <v>90000</v>
      </c>
      <c r="D36" s="11" t="s">
        <v>11</v>
      </c>
      <c r="E36" s="11" t="s">
        <v>12</v>
      </c>
      <c r="F36" s="11">
        <v>50000</v>
      </c>
      <c r="G36" s="11" t="s">
        <v>13</v>
      </c>
    </row>
    <row r="37" customFormat="1" spans="1:7">
      <c r="A37" s="73">
        <v>46057</v>
      </c>
      <c r="B37" s="11" t="s">
        <v>10</v>
      </c>
      <c r="C37" s="74">
        <v>50000</v>
      </c>
      <c r="D37" s="11" t="s">
        <v>11</v>
      </c>
      <c r="E37" s="11" t="s">
        <v>12</v>
      </c>
      <c r="F37" s="11">
        <v>50000</v>
      </c>
      <c r="G37" s="11" t="s">
        <v>13</v>
      </c>
    </row>
    <row r="38" customFormat="1" spans="1:7">
      <c r="A38" s="73">
        <v>46058</v>
      </c>
      <c r="B38" s="11" t="s">
        <v>10</v>
      </c>
      <c r="C38" s="74">
        <v>40000</v>
      </c>
      <c r="D38" s="11" t="s">
        <v>11</v>
      </c>
      <c r="E38" s="11" t="s">
        <v>12</v>
      </c>
      <c r="F38" s="11">
        <v>50000</v>
      </c>
      <c r="G38" s="11" t="s">
        <v>13</v>
      </c>
    </row>
    <row r="39" spans="1:7">
      <c r="A39" s="73">
        <v>46059</v>
      </c>
      <c r="B39" s="11" t="s">
        <v>10</v>
      </c>
      <c r="C39" s="74">
        <v>20000</v>
      </c>
      <c r="D39" s="11" t="s">
        <v>11</v>
      </c>
      <c r="E39" s="11" t="s">
        <v>12</v>
      </c>
      <c r="F39" s="11">
        <v>50000</v>
      </c>
      <c r="G39" s="11" t="s">
        <v>13</v>
      </c>
    </row>
    <row r="40" customFormat="1" spans="1:7">
      <c r="A40" s="73">
        <v>46060</v>
      </c>
      <c r="B40" s="11" t="s">
        <v>10</v>
      </c>
      <c r="C40" s="74">
        <v>10000</v>
      </c>
      <c r="D40" s="11" t="s">
        <v>11</v>
      </c>
      <c r="E40" s="11" t="s">
        <v>12</v>
      </c>
      <c r="F40" s="11">
        <v>10000</v>
      </c>
      <c r="G40" s="11" t="s">
        <v>13</v>
      </c>
    </row>
    <row r="41" customFormat="1" spans="1:7">
      <c r="A41" s="73">
        <v>46061</v>
      </c>
      <c r="B41" s="11" t="s">
        <v>10</v>
      </c>
      <c r="C41" s="74">
        <v>40000</v>
      </c>
      <c r="D41" s="11" t="s">
        <v>11</v>
      </c>
      <c r="E41" s="11" t="s">
        <v>12</v>
      </c>
      <c r="F41" s="74">
        <v>40000</v>
      </c>
      <c r="G41" s="11" t="s">
        <v>13</v>
      </c>
    </row>
    <row r="42" customFormat="1" spans="1:7">
      <c r="A42" s="73">
        <v>46062</v>
      </c>
      <c r="B42" s="11" t="s">
        <v>10</v>
      </c>
      <c r="C42" s="74">
        <v>20000</v>
      </c>
      <c r="D42" s="11" t="s">
        <v>11</v>
      </c>
      <c r="E42" s="11" t="s">
        <v>12</v>
      </c>
      <c r="F42" s="74">
        <v>20000</v>
      </c>
      <c r="G42" s="11" t="s">
        <v>13</v>
      </c>
    </row>
    <row r="43" spans="1:7">
      <c r="A43" s="73">
        <v>46063</v>
      </c>
      <c r="B43" s="11" t="s">
        <v>10</v>
      </c>
      <c r="C43" s="74">
        <v>40000</v>
      </c>
      <c r="D43" s="11" t="s">
        <v>11</v>
      </c>
      <c r="E43" s="11" t="s">
        <v>12</v>
      </c>
      <c r="F43" s="74">
        <v>40000</v>
      </c>
      <c r="G43" s="11" t="s">
        <v>13</v>
      </c>
    </row>
    <row r="44" customFormat="1" spans="1:7">
      <c r="A44" s="73">
        <v>46072</v>
      </c>
      <c r="B44" s="11" t="s">
        <v>10</v>
      </c>
      <c r="C44" s="74">
        <v>30000</v>
      </c>
      <c r="D44" s="11" t="s">
        <v>11</v>
      </c>
      <c r="E44" s="11" t="s">
        <v>12</v>
      </c>
      <c r="F44" s="74">
        <v>30000</v>
      </c>
      <c r="G44" s="11" t="s">
        <v>13</v>
      </c>
    </row>
    <row r="45" customFormat="1" spans="1:7">
      <c r="A45" s="73">
        <v>46075</v>
      </c>
      <c r="B45" s="11" t="s">
        <v>10</v>
      </c>
      <c r="C45" s="74">
        <v>8600</v>
      </c>
      <c r="D45" s="11" t="s">
        <v>11</v>
      </c>
      <c r="E45" s="11" t="s">
        <v>12</v>
      </c>
      <c r="F45" s="74">
        <v>8600</v>
      </c>
      <c r="G45" s="11" t="s">
        <v>13</v>
      </c>
    </row>
    <row r="46" customFormat="1" spans="1:7">
      <c r="A46" s="73">
        <v>46096</v>
      </c>
      <c r="B46" s="11" t="s">
        <v>10</v>
      </c>
      <c r="C46" s="74">
        <v>80000</v>
      </c>
      <c r="D46" s="11" t="s">
        <v>11</v>
      </c>
      <c r="E46" s="11" t="s">
        <v>12</v>
      </c>
      <c r="F46" s="74">
        <v>50000</v>
      </c>
      <c r="G46" s="11" t="s">
        <v>13</v>
      </c>
    </row>
    <row r="47" customFormat="1" spans="1:7">
      <c r="A47" s="73">
        <v>46100</v>
      </c>
      <c r="B47" s="11" t="s">
        <v>10</v>
      </c>
      <c r="C47" s="74"/>
      <c r="D47" s="11"/>
      <c r="E47" s="11" t="s">
        <v>12</v>
      </c>
      <c r="F47" s="74">
        <v>30000</v>
      </c>
      <c r="G47" s="11" t="s">
        <v>13</v>
      </c>
    </row>
    <row r="48" spans="1:7">
      <c r="A48" s="73">
        <v>46107</v>
      </c>
      <c r="B48" s="11" t="s">
        <v>10</v>
      </c>
      <c r="C48" s="74">
        <v>90000</v>
      </c>
      <c r="D48" s="11" t="s">
        <v>11</v>
      </c>
      <c r="E48" s="11" t="s">
        <v>12</v>
      </c>
      <c r="F48" s="11">
        <v>50000</v>
      </c>
      <c r="G48" s="11" t="s">
        <v>13</v>
      </c>
    </row>
    <row r="49" customFormat="1" spans="1:7">
      <c r="A49" s="73">
        <v>46116</v>
      </c>
      <c r="B49" s="11" t="s">
        <v>10</v>
      </c>
      <c r="C49" s="74">
        <v>50000</v>
      </c>
      <c r="D49" s="11" t="s">
        <v>11</v>
      </c>
      <c r="E49" s="11" t="s">
        <v>12</v>
      </c>
      <c r="F49" s="11">
        <v>50000</v>
      </c>
      <c r="G49" s="11" t="s">
        <v>13</v>
      </c>
    </row>
    <row r="50" customFormat="1" spans="1:7">
      <c r="A50" s="73">
        <v>46120</v>
      </c>
      <c r="B50" s="11" t="s">
        <v>10</v>
      </c>
      <c r="C50" s="74">
        <v>15000</v>
      </c>
      <c r="D50" s="11" t="s">
        <v>11</v>
      </c>
      <c r="E50" s="11" t="s">
        <v>12</v>
      </c>
      <c r="F50" s="74">
        <v>15000</v>
      </c>
      <c r="G50" s="11" t="s">
        <v>13</v>
      </c>
    </row>
    <row r="51" customFormat="1" ht="12" customHeight="1" spans="1:7">
      <c r="A51" s="73">
        <v>46141</v>
      </c>
      <c r="B51" s="11" t="s">
        <v>10</v>
      </c>
      <c r="C51" s="74">
        <v>30000</v>
      </c>
      <c r="D51" s="11" t="s">
        <v>11</v>
      </c>
      <c r="E51" s="11" t="s">
        <v>12</v>
      </c>
      <c r="F51" s="74">
        <v>30000</v>
      </c>
      <c r="G51" s="11" t="s">
        <v>13</v>
      </c>
    </row>
    <row r="52" customFormat="1" ht="12" customHeight="1" spans="1:7">
      <c r="A52" s="73">
        <v>46142</v>
      </c>
      <c r="B52" s="11" t="s">
        <v>10</v>
      </c>
      <c r="C52" s="74">
        <v>40000</v>
      </c>
      <c r="D52" s="11" t="s">
        <v>11</v>
      </c>
      <c r="E52" s="11" t="s">
        <v>12</v>
      </c>
      <c r="F52" s="74">
        <v>40000</v>
      </c>
      <c r="G52" s="11" t="s">
        <v>13</v>
      </c>
    </row>
    <row r="53" customFormat="1" ht="12" customHeight="1" spans="1:7">
      <c r="A53" s="73">
        <v>46147</v>
      </c>
      <c r="B53" s="11" t="s">
        <v>10</v>
      </c>
      <c r="C53" s="74">
        <v>50000</v>
      </c>
      <c r="D53" s="11" t="s">
        <v>11</v>
      </c>
      <c r="E53" s="11" t="s">
        <v>12</v>
      </c>
      <c r="F53" s="74">
        <v>50000</v>
      </c>
      <c r="G53" s="11" t="s">
        <v>13</v>
      </c>
    </row>
    <row r="54" customFormat="1" ht="12" customHeight="1" spans="1:7">
      <c r="A54" s="73">
        <v>46152</v>
      </c>
      <c r="B54" s="11" t="s">
        <v>10</v>
      </c>
      <c r="C54" s="74">
        <v>30000</v>
      </c>
      <c r="D54" s="11" t="s">
        <v>11</v>
      </c>
      <c r="E54" s="11" t="s">
        <v>12</v>
      </c>
      <c r="F54" s="74">
        <v>30000</v>
      </c>
      <c r="G54" s="11" t="s">
        <v>13</v>
      </c>
    </row>
    <row r="55" customFormat="1" ht="12" customHeight="1" spans="1:7">
      <c r="A55" s="73">
        <v>46164</v>
      </c>
      <c r="B55" s="11" t="s">
        <v>10</v>
      </c>
      <c r="C55" s="74">
        <v>20000</v>
      </c>
      <c r="D55" s="11" t="s">
        <v>11</v>
      </c>
      <c r="E55" s="11" t="s">
        <v>12</v>
      </c>
      <c r="F55" s="74">
        <v>20000</v>
      </c>
      <c r="G55" s="11" t="s">
        <v>13</v>
      </c>
    </row>
    <row r="56" customFormat="1" ht="12" customHeight="1" spans="1:7">
      <c r="A56" s="73">
        <v>46168</v>
      </c>
      <c r="B56" s="11" t="s">
        <v>10</v>
      </c>
      <c r="C56" s="74">
        <v>50000</v>
      </c>
      <c r="D56" s="11" t="s">
        <v>11</v>
      </c>
      <c r="E56" s="11" t="s">
        <v>12</v>
      </c>
      <c r="F56" s="74">
        <v>50000</v>
      </c>
      <c r="G56" s="11" t="s">
        <v>13</v>
      </c>
    </row>
    <row r="57" spans="1:7">
      <c r="A57" s="74"/>
      <c r="B57" s="11"/>
      <c r="C57" s="74"/>
      <c r="D57" s="11"/>
      <c r="E57" s="11"/>
      <c r="F57" s="11"/>
      <c r="G57" s="11"/>
    </row>
    <row r="58" spans="1:7">
      <c r="A58" s="74"/>
      <c r="B58" s="11"/>
      <c r="C58" s="74"/>
      <c r="D58" s="11"/>
      <c r="E58" s="11"/>
      <c r="F58" s="11"/>
      <c r="G58" s="11"/>
    </row>
    <row r="59" spans="1:7">
      <c r="A59" s="74"/>
      <c r="B59" s="11"/>
      <c r="C59" s="74"/>
      <c r="D59" s="11"/>
      <c r="E59" s="11"/>
      <c r="F59" s="11"/>
      <c r="G59" s="11"/>
    </row>
    <row r="60" spans="1:7">
      <c r="A60" s="74"/>
      <c r="B60" s="11"/>
      <c r="C60" s="74"/>
      <c r="D60" s="11"/>
      <c r="E60" s="11"/>
      <c r="F60" s="11"/>
      <c r="G60" s="11"/>
    </row>
    <row r="61" spans="1:7">
      <c r="A61" s="74"/>
      <c r="B61" s="11"/>
      <c r="C61" s="74"/>
      <c r="D61" s="11"/>
      <c r="E61" s="11"/>
      <c r="F61" s="11"/>
      <c r="G61" s="11"/>
    </row>
    <row r="62" spans="1:7">
      <c r="A62" s="74"/>
      <c r="B62" s="11"/>
      <c r="C62" s="74"/>
      <c r="D62" s="11"/>
      <c r="E62" s="11"/>
      <c r="F62" s="11"/>
      <c r="G62" s="11"/>
    </row>
    <row r="63" spans="1:7">
      <c r="A63" s="74"/>
      <c r="B63" s="11"/>
      <c r="C63" s="74"/>
      <c r="D63" s="11"/>
      <c r="E63" s="11"/>
      <c r="F63" s="11"/>
      <c r="G63" s="11"/>
    </row>
    <row r="64" spans="1:7">
      <c r="A64" s="74"/>
      <c r="B64" s="11"/>
      <c r="C64" s="74"/>
      <c r="D64" s="11"/>
      <c r="E64" s="11"/>
      <c r="F64" s="11"/>
      <c r="G64" s="11"/>
    </row>
    <row r="65" spans="1:7">
      <c r="A65" s="74"/>
      <c r="B65" s="11"/>
      <c r="C65" s="74"/>
      <c r="D65" s="11"/>
      <c r="E65" s="11"/>
      <c r="F65" s="11"/>
      <c r="G65" s="11"/>
    </row>
    <row r="66" spans="1:7">
      <c r="A66" s="74"/>
      <c r="B66" s="11"/>
      <c r="C66" s="74"/>
      <c r="D66" s="11"/>
      <c r="E66" s="11"/>
      <c r="F66" s="11"/>
      <c r="G66" s="11"/>
    </row>
    <row r="67" spans="1:7">
      <c r="A67" s="74"/>
      <c r="B67" s="11"/>
      <c r="C67" s="74"/>
      <c r="D67" s="11"/>
      <c r="E67" s="11"/>
      <c r="F67" s="11"/>
      <c r="G67" s="11"/>
    </row>
    <row r="68" spans="1:7">
      <c r="A68" s="74"/>
      <c r="B68" s="11"/>
      <c r="C68" s="74"/>
      <c r="D68" s="11"/>
      <c r="E68" s="11"/>
      <c r="F68" s="11"/>
      <c r="G68" s="11"/>
    </row>
    <row r="69" spans="1:7">
      <c r="A69" s="74"/>
      <c r="B69" s="11"/>
      <c r="C69" s="74"/>
      <c r="D69" s="11"/>
      <c r="E69" s="11"/>
      <c r="F69" s="11"/>
      <c r="G69" s="11"/>
    </row>
    <row r="70" spans="1:7">
      <c r="A70" s="74"/>
      <c r="B70" s="11"/>
      <c r="C70" s="74"/>
      <c r="D70" s="11"/>
      <c r="E70" s="11"/>
      <c r="F70" s="11"/>
      <c r="G70" s="11"/>
    </row>
    <row r="71" spans="1:7">
      <c r="A71" s="74"/>
      <c r="B71" s="11"/>
      <c r="C71" s="74"/>
      <c r="D71" s="11"/>
      <c r="E71" s="11"/>
      <c r="F71" s="11"/>
      <c r="G71" s="11"/>
    </row>
    <row r="72" spans="1:7">
      <c r="A72" s="74"/>
      <c r="B72" s="11"/>
      <c r="C72" s="74"/>
      <c r="D72" s="11"/>
      <c r="E72" s="11"/>
      <c r="F72" s="11"/>
      <c r="G72" s="11"/>
    </row>
    <row r="73" spans="1:7">
      <c r="A73" s="74"/>
      <c r="B73" s="11"/>
      <c r="C73" s="74"/>
      <c r="D73" s="11"/>
      <c r="E73" s="11"/>
      <c r="F73" s="11"/>
      <c r="G73" s="11"/>
    </row>
    <row r="74" spans="1:7">
      <c r="A74" s="73"/>
      <c r="B74" s="11"/>
      <c r="C74" s="74"/>
      <c r="D74" s="11"/>
      <c r="E74" s="11"/>
      <c r="F74" s="11"/>
      <c r="G74" s="11"/>
    </row>
    <row r="75" spans="1:7">
      <c r="A75" s="73"/>
      <c r="B75" s="11"/>
      <c r="C75" s="74"/>
      <c r="D75" s="11"/>
      <c r="E75" s="11"/>
      <c r="F75" s="11"/>
      <c r="G75" s="11"/>
    </row>
    <row r="76" spans="1:7">
      <c r="A76" s="73"/>
      <c r="B76" s="11"/>
      <c r="C76" s="74"/>
      <c r="D76" s="11"/>
      <c r="E76" s="11"/>
      <c r="F76" s="11"/>
      <c r="G76" s="11"/>
    </row>
    <row r="77" spans="1:7">
      <c r="A77" s="73"/>
      <c r="B77" s="11"/>
      <c r="C77" s="74"/>
      <c r="D77" s="11"/>
      <c r="E77" s="11"/>
      <c r="F77" s="11"/>
      <c r="G77" s="11"/>
    </row>
    <row r="78" spans="1:7">
      <c r="A78" s="73"/>
      <c r="B78" s="11"/>
      <c r="C78" s="74"/>
      <c r="D78" s="11"/>
      <c r="E78" s="11"/>
      <c r="F78" s="11"/>
      <c r="G78" s="11"/>
    </row>
    <row r="79" spans="1:7">
      <c r="A79" s="73"/>
      <c r="B79" s="11"/>
      <c r="C79" s="74"/>
      <c r="D79" s="11"/>
      <c r="E79" s="11"/>
      <c r="F79" s="11"/>
      <c r="G79" s="11"/>
    </row>
    <row r="80" spans="1:7">
      <c r="A80" s="73"/>
      <c r="B80" s="11"/>
      <c r="C80" s="74"/>
      <c r="D80" s="11"/>
      <c r="E80" s="11"/>
      <c r="F80" s="11"/>
      <c r="G80" s="11"/>
    </row>
    <row r="81" spans="1:7">
      <c r="A81" s="73"/>
      <c r="B81" s="11"/>
      <c r="C81" s="74"/>
      <c r="D81" s="11"/>
      <c r="E81" s="11"/>
      <c r="F81" s="11"/>
      <c r="G81" s="11"/>
    </row>
    <row r="82" spans="1:7">
      <c r="A82" s="73"/>
      <c r="B82" s="11"/>
      <c r="C82" s="74"/>
      <c r="D82" s="11"/>
      <c r="E82" s="11"/>
      <c r="F82" s="11"/>
      <c r="G82" s="11"/>
    </row>
    <row r="83" spans="1:7">
      <c r="A83" s="73"/>
      <c r="B83" s="73"/>
      <c r="C83" s="11"/>
      <c r="D83" s="74"/>
      <c r="E83" s="11"/>
      <c r="F83" s="11"/>
      <c r="G83" s="11"/>
    </row>
    <row r="84" spans="1:7">
      <c r="A84" s="73"/>
      <c r="B84" s="73"/>
      <c r="C84" s="11"/>
      <c r="D84" s="74"/>
      <c r="E84" s="11"/>
      <c r="F84" s="11"/>
      <c r="G84" s="11"/>
    </row>
    <row r="85" spans="1:7">
      <c r="A85" s="73"/>
      <c r="B85" s="11"/>
      <c r="C85" s="74"/>
      <c r="D85" s="11"/>
      <c r="E85" s="11"/>
      <c r="F85" s="11"/>
      <c r="G85" s="11"/>
    </row>
    <row r="86" spans="1:7">
      <c r="A86" s="73"/>
      <c r="B86" s="11"/>
      <c r="C86" s="74"/>
      <c r="D86" s="11"/>
      <c r="E86" s="11"/>
      <c r="F86" s="11"/>
      <c r="G86" s="11"/>
    </row>
    <row r="87" spans="1:7">
      <c r="A87" s="73"/>
      <c r="B87" s="11"/>
      <c r="C87" s="74"/>
      <c r="D87" s="11"/>
      <c r="E87" s="11"/>
      <c r="F87" s="11"/>
      <c r="G87" s="11"/>
    </row>
    <row r="88" spans="1:7">
      <c r="A88" s="73"/>
      <c r="B88" s="11"/>
      <c r="C88" s="74"/>
      <c r="D88" s="11"/>
      <c r="E88" s="11"/>
      <c r="F88" s="11"/>
      <c r="G88" s="11"/>
    </row>
    <row r="89" spans="1:7">
      <c r="A89" s="73"/>
      <c r="B89" s="11"/>
      <c r="C89" s="74"/>
      <c r="D89" s="11"/>
      <c r="E89" s="11"/>
      <c r="F89" s="11"/>
      <c r="G89" s="11"/>
    </row>
    <row r="90" spans="1:7">
      <c r="A90" s="73"/>
      <c r="B90" s="11"/>
      <c r="C90" s="74"/>
      <c r="D90" s="11"/>
      <c r="E90" s="11"/>
      <c r="F90" s="11"/>
      <c r="G90" s="11"/>
    </row>
    <row r="91" spans="1:7">
      <c r="A91" s="73"/>
      <c r="B91" s="11"/>
      <c r="C91" s="74"/>
      <c r="D91" s="11"/>
      <c r="E91" s="11"/>
      <c r="F91" s="11"/>
      <c r="G91" s="11"/>
    </row>
    <row r="92" spans="1:7">
      <c r="A92" s="73"/>
      <c r="B92" s="11"/>
      <c r="C92" s="74"/>
      <c r="D92" s="11"/>
      <c r="E92" s="11"/>
      <c r="F92" s="11"/>
      <c r="G92" s="11"/>
    </row>
    <row r="93" spans="1:7">
      <c r="A93" s="73"/>
      <c r="B93" s="11"/>
      <c r="C93" s="74"/>
      <c r="D93" s="11"/>
      <c r="E93" s="11"/>
      <c r="F93" s="11"/>
      <c r="G93" s="11"/>
    </row>
    <row r="94" spans="1:7">
      <c r="A94" s="73"/>
      <c r="B94" s="11"/>
      <c r="C94" s="74"/>
      <c r="D94" s="11"/>
      <c r="E94" s="11"/>
      <c r="F94" s="11"/>
      <c r="G94" s="11"/>
    </row>
    <row r="95" spans="1:7">
      <c r="A95" s="73"/>
      <c r="B95" s="11"/>
      <c r="C95" s="74"/>
      <c r="D95" s="11"/>
      <c r="E95" s="11"/>
      <c r="F95" s="11"/>
      <c r="G95" s="11"/>
    </row>
    <row r="96" spans="1:7">
      <c r="A96" s="73"/>
      <c r="B96" s="11"/>
      <c r="C96" s="74"/>
      <c r="D96" s="11"/>
      <c r="E96" s="11"/>
      <c r="F96" s="11"/>
      <c r="G96" s="11"/>
    </row>
    <row r="97" spans="1:7">
      <c r="A97" s="73"/>
      <c r="B97" s="11"/>
      <c r="C97" s="74"/>
      <c r="D97" s="11"/>
      <c r="E97" s="11"/>
      <c r="F97" s="11"/>
      <c r="G97" s="11"/>
    </row>
    <row r="98" spans="1:7">
      <c r="A98" s="73"/>
      <c r="B98" s="11"/>
      <c r="C98" s="74"/>
      <c r="D98" s="11"/>
      <c r="E98" s="11"/>
      <c r="F98" s="11"/>
      <c r="G98" s="11"/>
    </row>
    <row r="99" spans="1:7">
      <c r="A99" s="73"/>
      <c r="B99" s="11"/>
      <c r="C99" s="74"/>
      <c r="D99" s="11"/>
      <c r="E99" s="11"/>
      <c r="F99" s="11"/>
      <c r="G99" s="11"/>
    </row>
    <row r="100" spans="1:7">
      <c r="A100" s="73"/>
      <c r="B100" s="11"/>
      <c r="C100" s="74"/>
      <c r="D100" s="11"/>
      <c r="E100" s="11"/>
      <c r="F100" s="11"/>
      <c r="G100" s="11"/>
    </row>
    <row r="101" spans="1:7">
      <c r="A101" s="73"/>
      <c r="B101" s="11"/>
      <c r="C101" s="74"/>
      <c r="D101" s="11"/>
      <c r="E101" s="11"/>
      <c r="F101" s="11"/>
      <c r="G101" s="11"/>
    </row>
    <row r="102" spans="1:7">
      <c r="A102" s="73"/>
      <c r="B102" s="11"/>
      <c r="C102" s="74"/>
      <c r="D102" s="11"/>
      <c r="E102" s="11"/>
      <c r="F102" s="11"/>
      <c r="G102" s="11"/>
    </row>
    <row r="103" spans="1:7">
      <c r="A103" s="73"/>
      <c r="B103" s="11"/>
      <c r="C103" s="74"/>
      <c r="D103" s="11"/>
      <c r="E103" s="11"/>
      <c r="F103" s="11"/>
      <c r="G103" s="11"/>
    </row>
    <row r="104" spans="1:7">
      <c r="A104" s="73"/>
      <c r="B104" s="11"/>
      <c r="C104" s="74"/>
      <c r="D104" s="11"/>
      <c r="E104" s="11"/>
      <c r="F104" s="11"/>
      <c r="G104" s="11"/>
    </row>
    <row r="105" spans="1:7">
      <c r="A105" s="73"/>
      <c r="B105" s="11"/>
      <c r="C105" s="74"/>
      <c r="D105" s="11"/>
      <c r="E105" s="11"/>
      <c r="F105" s="11"/>
      <c r="G105" s="11"/>
    </row>
    <row r="106" spans="1:7">
      <c r="A106" s="73"/>
      <c r="B106" s="11"/>
      <c r="C106" s="74"/>
      <c r="D106" s="11"/>
      <c r="E106" s="11"/>
      <c r="F106" s="11"/>
      <c r="G106" s="11"/>
    </row>
    <row r="107" spans="1:7">
      <c r="A107" s="73"/>
      <c r="B107" s="11"/>
      <c r="C107" s="74"/>
      <c r="D107" s="11"/>
      <c r="E107" s="11"/>
      <c r="F107" s="11"/>
      <c r="G107" s="11"/>
    </row>
    <row r="108" spans="1:7">
      <c r="A108" s="73"/>
      <c r="B108" s="11"/>
      <c r="C108" s="74"/>
      <c r="D108" s="11"/>
      <c r="E108" s="11"/>
      <c r="F108" s="11"/>
      <c r="G108" s="11"/>
    </row>
    <row r="109" spans="1:7">
      <c r="A109" s="73"/>
      <c r="B109" s="11"/>
      <c r="C109" s="74"/>
      <c r="D109" s="11"/>
      <c r="E109" s="11"/>
      <c r="F109" s="11"/>
      <c r="G109" s="11"/>
    </row>
    <row r="110" spans="1:7">
      <c r="A110" s="73"/>
      <c r="B110" s="11"/>
      <c r="C110" s="74"/>
      <c r="D110" s="11"/>
      <c r="E110" s="11"/>
      <c r="F110" s="11"/>
      <c r="G110" s="11"/>
    </row>
    <row r="111" spans="1:7">
      <c r="A111" s="73"/>
      <c r="B111" s="11"/>
      <c r="C111" s="74"/>
      <c r="D111" s="11"/>
      <c r="E111" s="11"/>
      <c r="F111" s="11"/>
      <c r="G111" s="11"/>
    </row>
    <row r="112" spans="1:7">
      <c r="A112" s="73"/>
      <c r="B112" s="11"/>
      <c r="C112" s="74"/>
      <c r="D112" s="11"/>
      <c r="E112" s="11"/>
      <c r="F112" s="11"/>
      <c r="G112" s="11"/>
    </row>
    <row r="113" spans="1:10">
      <c r="A113" s="73"/>
      <c r="B113" s="11"/>
      <c r="C113" s="74"/>
      <c r="D113" s="11"/>
      <c r="E113" s="11"/>
      <c r="F113" s="11"/>
      <c r="G113" s="11"/>
    </row>
    <row r="114" spans="1:10">
      <c r="A114" s="73"/>
      <c r="B114" s="11"/>
      <c r="C114" s="74"/>
      <c r="D114" s="11"/>
      <c r="E114" s="11"/>
      <c r="F114" s="11"/>
      <c r="G114" s="11"/>
    </row>
    <row r="115" spans="1:10">
      <c r="A115" s="73"/>
      <c r="B115" s="11"/>
      <c r="C115" s="74"/>
      <c r="D115" s="11"/>
      <c r="E115" s="11"/>
      <c r="F115" s="11"/>
      <c r="G115" s="11"/>
    </row>
    <row r="116" spans="1:10">
      <c r="A116" s="73"/>
      <c r="B116" s="11"/>
      <c r="C116" s="74"/>
      <c r="D116" s="11"/>
      <c r="E116" s="11"/>
      <c r="F116" s="11"/>
      <c r="G116" s="11"/>
    </row>
    <row r="117" spans="1:10">
      <c r="A117" s="73"/>
      <c r="B117" s="11"/>
      <c r="C117" s="74"/>
      <c r="D117" s="11"/>
      <c r="E117" s="11"/>
      <c r="F117" s="11"/>
      <c r="G117" s="11"/>
    </row>
    <row r="118" spans="1:10">
      <c r="A118" s="73"/>
      <c r="B118" s="11"/>
      <c r="C118" s="74"/>
      <c r="D118" s="11"/>
      <c r="E118" s="11"/>
      <c r="F118" s="11"/>
      <c r="G118" s="11"/>
    </row>
    <row r="119" spans="1:10">
      <c r="A119" s="73"/>
      <c r="B119" s="11"/>
      <c r="C119" s="74"/>
      <c r="D119" s="11"/>
      <c r="F119" s="11"/>
      <c r="G119" s="11"/>
    </row>
    <row r="120" spans="1:10">
      <c r="A120" s="11"/>
      <c r="B120" s="11"/>
      <c r="C120" s="74"/>
      <c r="D120" s="11"/>
      <c r="E120" s="11"/>
      <c r="F120" s="11"/>
      <c r="G120" s="11"/>
    </row>
    <row r="121" spans="1:10">
      <c r="A121" s="11"/>
      <c r="B121" s="11"/>
      <c r="C121" s="74"/>
      <c r="D121" s="11"/>
      <c r="E121" s="11"/>
      <c r="F121" s="11"/>
      <c r="G121" s="11"/>
    </row>
    <row r="122" spans="1:10">
      <c r="A122" s="11"/>
      <c r="B122" s="11"/>
      <c r="C122" s="74"/>
      <c r="D122" s="11"/>
      <c r="E122" s="11"/>
      <c r="F122" s="11"/>
      <c r="G122" s="11"/>
    </row>
    <row r="123" spans="1:10">
      <c r="A123" s="11"/>
      <c r="B123" s="11"/>
      <c r="C123" s="74"/>
      <c r="D123" s="11"/>
      <c r="E123" s="11"/>
      <c r="F123" s="11"/>
      <c r="G123" s="11"/>
    </row>
    <row r="124" ht="14.25" spans="1:10">
      <c r="A124" s="11"/>
      <c r="B124" s="75" t="s">
        <v>17</v>
      </c>
      <c r="C124" s="76">
        <f>SUM(C2:C123)</f>
        <v>1654600</v>
      </c>
      <c r="D124" s="11"/>
      <c r="E124" s="11"/>
      <c r="F124" s="77">
        <f>SUM(F2:F123)</f>
        <v>1614600</v>
      </c>
      <c r="G124" s="11"/>
      <c r="H124" s="77">
        <f>F124+C124</f>
        <v>3269200</v>
      </c>
      <c r="I124" s="77">
        <v>104395.11</v>
      </c>
      <c r="J124" s="77">
        <f>H124-I124</f>
        <v>3164804.89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zoomScale="130" zoomScaleNormal="130" workbookViewId="0">
      <pane ySplit="1" topLeftCell="A185" activePane="bottomLeft" state="frozen"/>
      <selection/>
      <selection pane="bottomLeft" activeCell="D206" sqref="D206"/>
    </sheetView>
  </sheetViews>
  <sheetFormatPr defaultColWidth="9" defaultRowHeight="16.5" outlineLevelCol="6"/>
  <cols>
    <col min="1" max="1" width="24.2416666666667" style="27" customWidth="1"/>
    <col min="2" max="2" width="35.6333333333333" style="27" customWidth="1"/>
    <col min="3" max="3" width="13.0833333333333" style="27" customWidth="1"/>
    <col min="4" max="4" width="30.4416666666667" style="27" customWidth="1"/>
    <col min="5" max="6" width="24.1916666666667" style="27" customWidth="1"/>
    <col min="7" max="7" width="24.6166666666667" style="27" customWidth="1"/>
    <col min="8" max="16384" width="9" style="35"/>
  </cols>
  <sheetData>
    <row r="1" spans="1:7">
      <c r="A1" s="36" t="s">
        <v>0</v>
      </c>
      <c r="B1" s="37" t="s">
        <v>18</v>
      </c>
      <c r="C1" s="37" t="s">
        <v>19</v>
      </c>
      <c r="D1" s="37" t="s">
        <v>20</v>
      </c>
      <c r="E1" s="37" t="s">
        <v>21</v>
      </c>
      <c r="F1" s="37" t="s">
        <v>22</v>
      </c>
      <c r="G1" s="38" t="s">
        <v>23</v>
      </c>
    </row>
    <row r="2" spans="1:7">
      <c r="A2" s="39">
        <v>45973</v>
      </c>
      <c r="B2" s="40" t="s">
        <v>24</v>
      </c>
      <c r="C2" s="40">
        <v>1000</v>
      </c>
      <c r="D2" s="40" t="s">
        <v>24</v>
      </c>
      <c r="E2" s="40" t="s">
        <v>25</v>
      </c>
      <c r="F2" s="40"/>
      <c r="G2" s="40"/>
    </row>
    <row r="3" s="35" customFormat="1" spans="1:7">
      <c r="A3" s="39">
        <v>45987</v>
      </c>
      <c r="B3" s="40" t="s">
        <v>24</v>
      </c>
      <c r="C3" s="40">
        <v>1000</v>
      </c>
      <c r="D3" s="40" t="s">
        <v>24</v>
      </c>
      <c r="E3" s="40" t="s">
        <v>25</v>
      </c>
      <c r="F3" s="40"/>
      <c r="G3" s="40"/>
    </row>
    <row r="4" spans="1:7">
      <c r="A4" s="39">
        <v>45987</v>
      </c>
      <c r="B4" s="40" t="s">
        <v>26</v>
      </c>
      <c r="C4" s="40">
        <v>24904</v>
      </c>
      <c r="D4" s="40" t="s">
        <v>27</v>
      </c>
      <c r="E4" s="40" t="s">
        <v>28</v>
      </c>
      <c r="F4" s="40"/>
      <c r="G4" s="40"/>
    </row>
    <row r="5" s="35" customFormat="1" spans="1:7">
      <c r="A5" s="39">
        <v>45988</v>
      </c>
      <c r="B5" s="40" t="s">
        <v>24</v>
      </c>
      <c r="C5" s="40">
        <v>1000</v>
      </c>
      <c r="D5" s="40" t="s">
        <v>24</v>
      </c>
      <c r="E5" s="40" t="s">
        <v>25</v>
      </c>
      <c r="F5" s="40"/>
      <c r="G5" s="40"/>
    </row>
    <row r="6" spans="1:7">
      <c r="A6" s="39">
        <v>45991</v>
      </c>
      <c r="B6" s="40" t="s">
        <v>29</v>
      </c>
      <c r="C6" s="40">
        <v>24180</v>
      </c>
      <c r="D6" s="40" t="s">
        <v>27</v>
      </c>
      <c r="E6" s="40" t="s">
        <v>28</v>
      </c>
      <c r="F6" s="40"/>
      <c r="G6" s="40"/>
    </row>
    <row r="7" s="35" customFormat="1" spans="1:7">
      <c r="A7" s="39">
        <v>45992</v>
      </c>
      <c r="B7" s="40" t="s">
        <v>30</v>
      </c>
      <c r="C7" s="40">
        <v>1000</v>
      </c>
      <c r="D7" s="40" t="s">
        <v>30</v>
      </c>
      <c r="E7" s="40" t="s">
        <v>28</v>
      </c>
      <c r="F7" s="40"/>
      <c r="G7" s="40"/>
    </row>
    <row r="8" spans="1:7">
      <c r="A8" s="39">
        <v>45992</v>
      </c>
      <c r="B8" s="40" t="s">
        <v>31</v>
      </c>
      <c r="C8" s="40">
        <v>1900</v>
      </c>
      <c r="D8" s="40" t="s">
        <v>27</v>
      </c>
      <c r="E8" s="40" t="s">
        <v>28</v>
      </c>
      <c r="F8" s="40"/>
      <c r="G8" s="40"/>
    </row>
    <row r="9" s="35" customFormat="1" spans="1:7">
      <c r="A9" s="39">
        <v>45993</v>
      </c>
      <c r="B9" s="40" t="s">
        <v>32</v>
      </c>
      <c r="C9" s="40">
        <v>1000</v>
      </c>
      <c r="D9" s="40" t="s">
        <v>32</v>
      </c>
      <c r="E9" s="40" t="s">
        <v>28</v>
      </c>
      <c r="F9" s="40"/>
      <c r="G9" s="40"/>
    </row>
    <row r="10" s="35" customFormat="1" spans="1:7">
      <c r="A10" s="39">
        <v>45993</v>
      </c>
      <c r="B10" s="40" t="s">
        <v>33</v>
      </c>
      <c r="C10" s="41">
        <v>57282.5</v>
      </c>
      <c r="D10" s="40" t="s">
        <v>33</v>
      </c>
      <c r="E10" s="40" t="s">
        <v>28</v>
      </c>
      <c r="F10" s="40"/>
      <c r="G10" s="40"/>
    </row>
    <row r="11" s="35" customFormat="1" spans="1:7">
      <c r="A11" s="39">
        <v>45993</v>
      </c>
      <c r="B11" s="40" t="s">
        <v>34</v>
      </c>
      <c r="C11" s="41">
        <v>159.5</v>
      </c>
      <c r="D11" s="40" t="s">
        <v>35</v>
      </c>
      <c r="E11" s="40" t="s">
        <v>25</v>
      </c>
      <c r="F11" s="40"/>
      <c r="G11" s="40"/>
    </row>
    <row r="12" s="35" customFormat="1" spans="1:7">
      <c r="A12" s="39">
        <v>45994</v>
      </c>
      <c r="B12" s="40" t="s">
        <v>36</v>
      </c>
      <c r="C12" s="41">
        <v>1000</v>
      </c>
      <c r="D12" s="40" t="s">
        <v>36</v>
      </c>
      <c r="E12" s="40" t="s">
        <v>28</v>
      </c>
      <c r="F12" s="40"/>
      <c r="G12" s="40"/>
    </row>
    <row r="13" s="35" customFormat="1" spans="1:7">
      <c r="A13" s="39">
        <v>45994</v>
      </c>
      <c r="B13" s="40" t="s">
        <v>37</v>
      </c>
      <c r="C13" s="41">
        <v>20120.72</v>
      </c>
      <c r="D13" s="40" t="s">
        <v>37</v>
      </c>
      <c r="E13" s="40" t="s">
        <v>28</v>
      </c>
      <c r="F13" s="40"/>
      <c r="G13" s="40"/>
    </row>
    <row r="14" s="35" customFormat="1" spans="1:7">
      <c r="A14" s="39">
        <v>45994</v>
      </c>
      <c r="B14" s="40" t="s">
        <v>38</v>
      </c>
      <c r="C14" s="41">
        <v>1000</v>
      </c>
      <c r="D14" s="40" t="s">
        <v>38</v>
      </c>
      <c r="E14" s="40" t="s">
        <v>28</v>
      </c>
      <c r="F14" s="40"/>
      <c r="G14" s="40"/>
    </row>
    <row r="15" s="35" customFormat="1" spans="1:7">
      <c r="A15" s="39">
        <v>45994</v>
      </c>
      <c r="B15" s="40" t="s">
        <v>39</v>
      </c>
      <c r="C15" s="41">
        <v>64280</v>
      </c>
      <c r="D15" s="40" t="s">
        <v>39</v>
      </c>
      <c r="E15" s="40" t="s">
        <v>28</v>
      </c>
      <c r="F15" s="40"/>
      <c r="G15" s="40"/>
    </row>
    <row r="16" s="35" customFormat="1" spans="1:7">
      <c r="A16" s="39">
        <v>45995</v>
      </c>
      <c r="B16" s="40" t="s">
        <v>40</v>
      </c>
      <c r="C16" s="42">
        <v>2000</v>
      </c>
      <c r="D16" s="40" t="s">
        <v>40</v>
      </c>
      <c r="E16" s="40" t="s">
        <v>25</v>
      </c>
      <c r="F16" s="40"/>
      <c r="G16" s="40"/>
    </row>
    <row r="17" s="35" customFormat="1" spans="1:7">
      <c r="A17" s="39">
        <v>45995</v>
      </c>
      <c r="B17" s="40" t="s">
        <v>41</v>
      </c>
      <c r="C17" s="40">
        <v>140030</v>
      </c>
      <c r="D17" s="40" t="s">
        <v>41</v>
      </c>
      <c r="E17" s="40" t="s">
        <v>42</v>
      </c>
      <c r="F17" s="40" t="s">
        <v>43</v>
      </c>
      <c r="G17" s="40"/>
    </row>
    <row r="18" s="35" customFormat="1" spans="1:7">
      <c r="A18" s="39">
        <v>45995</v>
      </c>
      <c r="B18" s="40" t="s">
        <v>41</v>
      </c>
      <c r="C18" s="40">
        <v>24970</v>
      </c>
      <c r="D18" s="40" t="s">
        <v>41</v>
      </c>
      <c r="E18" s="40" t="s">
        <v>28</v>
      </c>
      <c r="F18" s="40"/>
      <c r="G18" s="40"/>
    </row>
    <row r="19" s="35" customFormat="1" spans="1:7">
      <c r="A19" s="39">
        <v>45995</v>
      </c>
      <c r="B19" s="40" t="s">
        <v>44</v>
      </c>
      <c r="C19" s="40">
        <v>670</v>
      </c>
      <c r="D19" s="40" t="s">
        <v>44</v>
      </c>
      <c r="E19" s="40" t="s">
        <v>28</v>
      </c>
      <c r="F19" s="40"/>
      <c r="G19" s="40"/>
    </row>
    <row r="20" s="35" customFormat="1" spans="1:7">
      <c r="A20" s="39">
        <v>45997</v>
      </c>
      <c r="B20" s="40" t="s">
        <v>45</v>
      </c>
      <c r="C20" s="40">
        <v>1000</v>
      </c>
      <c r="D20" s="40" t="s">
        <v>45</v>
      </c>
      <c r="E20" s="40" t="s">
        <v>28</v>
      </c>
      <c r="F20" s="40"/>
      <c r="G20" s="40"/>
    </row>
    <row r="21" s="35" customFormat="1" spans="1:7">
      <c r="A21" s="39">
        <v>45997</v>
      </c>
      <c r="B21" s="40" t="s">
        <v>46</v>
      </c>
      <c r="C21" s="41">
        <v>617.66</v>
      </c>
      <c r="D21" s="40" t="s">
        <v>47</v>
      </c>
      <c r="E21" s="40" t="s">
        <v>48</v>
      </c>
      <c r="F21" s="40"/>
      <c r="G21" s="40"/>
    </row>
    <row r="22" s="35" customFormat="1" spans="1:7">
      <c r="A22" s="39">
        <v>46001</v>
      </c>
      <c r="B22" s="40" t="s">
        <v>45</v>
      </c>
      <c r="C22" s="40">
        <v>1000</v>
      </c>
      <c r="D22" s="40" t="s">
        <v>45</v>
      </c>
      <c r="E22" s="40" t="s">
        <v>28</v>
      </c>
      <c r="F22" s="40"/>
      <c r="G22" s="40"/>
    </row>
    <row r="23" s="35" customFormat="1" spans="1:7">
      <c r="A23" s="39">
        <v>46001</v>
      </c>
      <c r="B23" s="40" t="s">
        <v>45</v>
      </c>
      <c r="C23" s="42">
        <v>1000</v>
      </c>
      <c r="D23" s="40" t="s">
        <v>45</v>
      </c>
      <c r="E23" s="40" t="s">
        <v>28</v>
      </c>
      <c r="F23" s="40"/>
      <c r="G23" s="40"/>
    </row>
    <row r="24" s="35" customFormat="1" spans="1:7">
      <c r="A24" s="39">
        <v>46002</v>
      </c>
      <c r="B24" s="40" t="s">
        <v>45</v>
      </c>
      <c r="C24" s="42">
        <v>1000</v>
      </c>
      <c r="D24" s="40" t="s">
        <v>45</v>
      </c>
      <c r="E24" s="40" t="s">
        <v>28</v>
      </c>
      <c r="F24" s="40"/>
      <c r="G24" s="40"/>
    </row>
    <row r="25" s="35" customFormat="1" spans="1:7">
      <c r="A25" s="39">
        <v>46002</v>
      </c>
      <c r="B25" s="40" t="s">
        <v>49</v>
      </c>
      <c r="C25" s="41">
        <v>132841</v>
      </c>
      <c r="D25" s="40" t="s">
        <v>49</v>
      </c>
      <c r="E25" s="40" t="s">
        <v>28</v>
      </c>
      <c r="F25" s="40"/>
      <c r="G25" s="40"/>
    </row>
    <row r="26" s="35" customFormat="1" spans="1:7">
      <c r="A26" s="39">
        <v>46003</v>
      </c>
      <c r="B26" s="40" t="s">
        <v>24</v>
      </c>
      <c r="C26" s="40">
        <v>20000</v>
      </c>
      <c r="D26" s="40" t="s">
        <v>24</v>
      </c>
      <c r="E26" s="40" t="s">
        <v>28</v>
      </c>
      <c r="F26" s="40"/>
      <c r="G26" s="40"/>
    </row>
    <row r="27" s="35" customFormat="1" spans="1:7">
      <c r="A27" s="39">
        <v>46004</v>
      </c>
      <c r="B27" s="40" t="s">
        <v>50</v>
      </c>
      <c r="C27" s="40">
        <v>618</v>
      </c>
      <c r="D27" s="40" t="s">
        <v>50</v>
      </c>
      <c r="E27" s="40" t="s">
        <v>48</v>
      </c>
      <c r="F27" s="40"/>
      <c r="G27" s="40"/>
    </row>
    <row r="28" s="35" customFormat="1" spans="1:7">
      <c r="A28" s="39">
        <v>46005</v>
      </c>
      <c r="B28" s="40" t="s">
        <v>51</v>
      </c>
      <c r="C28" s="40">
        <v>42700</v>
      </c>
      <c r="D28" s="40" t="s">
        <v>51</v>
      </c>
      <c r="E28" s="40" t="s">
        <v>28</v>
      </c>
      <c r="F28" s="40"/>
      <c r="G28" s="40"/>
    </row>
    <row r="29" s="35" customFormat="1" spans="1:7">
      <c r="A29" s="39">
        <v>46005</v>
      </c>
      <c r="B29" s="40" t="s">
        <v>52</v>
      </c>
      <c r="C29" s="40">
        <v>29080</v>
      </c>
      <c r="D29" s="41" t="s">
        <v>27</v>
      </c>
      <c r="E29" s="40" t="s">
        <v>53</v>
      </c>
      <c r="F29" s="40"/>
      <c r="G29" s="40"/>
    </row>
    <row r="30" s="35" customFormat="1" spans="1:7">
      <c r="A30" s="39">
        <v>46007</v>
      </c>
      <c r="B30" s="40" t="s">
        <v>54</v>
      </c>
      <c r="C30" s="40">
        <v>39160</v>
      </c>
      <c r="D30" s="40" t="s">
        <v>54</v>
      </c>
      <c r="E30" s="40" t="s">
        <v>28</v>
      </c>
      <c r="F30" s="40"/>
      <c r="G30" s="40"/>
    </row>
    <row r="31" s="35" customFormat="1" spans="1:7">
      <c r="A31" s="39">
        <v>46008</v>
      </c>
      <c r="B31" s="40" t="s">
        <v>33</v>
      </c>
      <c r="C31" s="40">
        <v>53645</v>
      </c>
      <c r="D31" s="40" t="s">
        <v>33</v>
      </c>
      <c r="E31" s="40" t="s">
        <v>28</v>
      </c>
      <c r="F31" s="40"/>
      <c r="G31" s="40"/>
    </row>
    <row r="32" s="35" customFormat="1" spans="1:7">
      <c r="A32" s="39">
        <v>46008</v>
      </c>
      <c r="B32" s="40" t="s">
        <v>45</v>
      </c>
      <c r="C32" s="40">
        <v>1000</v>
      </c>
      <c r="D32" s="40" t="s">
        <v>45</v>
      </c>
      <c r="E32" s="40" t="s">
        <v>28</v>
      </c>
      <c r="F32" s="40"/>
      <c r="G32" s="40"/>
    </row>
    <row r="33" s="35" customFormat="1" spans="1:7">
      <c r="A33" s="39">
        <v>46009</v>
      </c>
      <c r="B33" s="40" t="s">
        <v>55</v>
      </c>
      <c r="C33" s="40">
        <v>73780</v>
      </c>
      <c r="D33" s="40" t="s">
        <v>55</v>
      </c>
      <c r="E33" s="40" t="s">
        <v>56</v>
      </c>
      <c r="F33" s="40"/>
      <c r="G33" s="40"/>
    </row>
    <row r="34" spans="1:7">
      <c r="A34" s="39">
        <v>46012</v>
      </c>
      <c r="B34" s="40" t="s">
        <v>24</v>
      </c>
      <c r="C34" s="40">
        <v>20120.72</v>
      </c>
      <c r="D34" s="40" t="s">
        <v>24</v>
      </c>
      <c r="E34" s="40" t="s">
        <v>28</v>
      </c>
      <c r="F34" s="40"/>
      <c r="G34" s="40"/>
    </row>
    <row r="35" spans="1:7">
      <c r="A35" s="39">
        <v>46012</v>
      </c>
      <c r="B35" s="40" t="s">
        <v>24</v>
      </c>
      <c r="C35" s="40">
        <v>20120.72</v>
      </c>
      <c r="D35" s="40" t="s">
        <v>24</v>
      </c>
      <c r="E35" s="40" t="s">
        <v>56</v>
      </c>
      <c r="F35" s="40"/>
      <c r="G35" s="40"/>
    </row>
    <row r="36" s="35" customFormat="1" spans="1:7">
      <c r="A36" s="39">
        <v>46013</v>
      </c>
      <c r="B36" s="40" t="s">
        <v>51</v>
      </c>
      <c r="C36" s="40">
        <v>42770</v>
      </c>
      <c r="D36" s="40" t="s">
        <v>51</v>
      </c>
      <c r="E36" s="40" t="s">
        <v>28</v>
      </c>
      <c r="F36" s="40"/>
      <c r="G36" s="40"/>
    </row>
    <row r="37" s="35" customFormat="1" spans="1:7">
      <c r="A37" s="39">
        <v>46013</v>
      </c>
      <c r="B37" s="40" t="s">
        <v>57</v>
      </c>
      <c r="C37" s="40">
        <v>1200</v>
      </c>
      <c r="D37" s="40" t="s">
        <v>57</v>
      </c>
      <c r="E37" s="40" t="s">
        <v>56</v>
      </c>
      <c r="F37" s="40"/>
      <c r="G37" s="40"/>
    </row>
    <row r="38" s="35" customFormat="1" spans="1:7">
      <c r="A38" s="39">
        <v>46015</v>
      </c>
      <c r="B38" s="40" t="s">
        <v>45</v>
      </c>
      <c r="C38" s="40">
        <v>1000</v>
      </c>
      <c r="D38" s="40" t="s">
        <v>45</v>
      </c>
      <c r="E38" s="40" t="s">
        <v>28</v>
      </c>
      <c r="F38" s="40"/>
      <c r="G38" s="40"/>
    </row>
    <row r="39" s="35" customFormat="1" spans="1:7">
      <c r="A39" s="39">
        <v>46016</v>
      </c>
      <c r="B39" s="40" t="s">
        <v>58</v>
      </c>
      <c r="C39" s="40">
        <v>5000</v>
      </c>
      <c r="D39" s="40" t="s">
        <v>58</v>
      </c>
      <c r="E39" s="40" t="s">
        <v>28</v>
      </c>
      <c r="F39" s="40"/>
      <c r="G39" s="40"/>
    </row>
    <row r="40" s="35" customFormat="1" spans="1:7">
      <c r="A40" s="39">
        <v>46016</v>
      </c>
      <c r="B40" s="40" t="s">
        <v>59</v>
      </c>
      <c r="C40" s="40">
        <v>69600</v>
      </c>
      <c r="D40" s="40" t="s">
        <v>60</v>
      </c>
      <c r="E40" s="40" t="s">
        <v>28</v>
      </c>
      <c r="F40" s="40"/>
      <c r="G40" s="40"/>
    </row>
    <row r="41" s="35" customFormat="1" spans="1:7">
      <c r="A41" s="39">
        <v>46018</v>
      </c>
      <c r="B41" s="40" t="s">
        <v>61</v>
      </c>
      <c r="C41" s="40">
        <v>180308.7</v>
      </c>
      <c r="D41" s="40" t="s">
        <v>61</v>
      </c>
      <c r="E41" s="40" t="s">
        <v>62</v>
      </c>
      <c r="F41" s="40" t="s">
        <v>43</v>
      </c>
      <c r="G41" s="43" t="s">
        <v>63</v>
      </c>
    </row>
    <row r="42" s="35" customFormat="1" spans="1:7">
      <c r="A42" s="39">
        <v>46018</v>
      </c>
      <c r="B42" s="40" t="s">
        <v>64</v>
      </c>
      <c r="C42" s="40">
        <v>70180</v>
      </c>
      <c r="D42" s="40" t="s">
        <v>65</v>
      </c>
      <c r="E42" s="40" t="s">
        <v>28</v>
      </c>
      <c r="F42" s="40"/>
      <c r="G42" s="40"/>
    </row>
    <row r="43" s="35" customFormat="1" spans="1:7">
      <c r="A43" s="39">
        <v>46019</v>
      </c>
      <c r="B43" s="40" t="s">
        <v>66</v>
      </c>
      <c r="C43" s="40">
        <v>170150</v>
      </c>
      <c r="D43" s="40" t="s">
        <v>67</v>
      </c>
      <c r="E43" s="40" t="s">
        <v>28</v>
      </c>
      <c r="F43" s="40"/>
      <c r="G43" s="40"/>
    </row>
    <row r="44" s="35" customFormat="1" spans="1:7">
      <c r="A44" s="39">
        <v>46019</v>
      </c>
      <c r="B44" s="40" t="s">
        <v>68</v>
      </c>
      <c r="C44" s="40">
        <v>29080</v>
      </c>
      <c r="D44" s="40" t="s">
        <v>27</v>
      </c>
      <c r="E44" s="40" t="s">
        <v>28</v>
      </c>
      <c r="F44" s="40"/>
      <c r="G44" s="40"/>
    </row>
    <row r="45" s="35" customFormat="1" spans="1:7">
      <c r="A45" s="39">
        <v>46025</v>
      </c>
      <c r="B45" s="40" t="s">
        <v>69</v>
      </c>
      <c r="C45" s="40">
        <v>1000</v>
      </c>
      <c r="D45" s="40" t="s">
        <v>69</v>
      </c>
      <c r="E45" s="40" t="s">
        <v>28</v>
      </c>
      <c r="F45" s="40"/>
      <c r="G45" s="40"/>
    </row>
    <row r="46" s="35" customFormat="1" spans="1:7">
      <c r="A46" s="39">
        <v>46026</v>
      </c>
      <c r="B46" s="40" t="s">
        <v>70</v>
      </c>
      <c r="C46" s="40">
        <v>12933</v>
      </c>
      <c r="D46" s="40" t="s">
        <v>70</v>
      </c>
      <c r="E46" s="40" t="s">
        <v>28</v>
      </c>
      <c r="F46" s="40"/>
      <c r="G46" s="40"/>
    </row>
    <row r="47" s="35" customFormat="1" spans="1:7">
      <c r="A47" s="39">
        <v>46027</v>
      </c>
      <c r="B47" s="40" t="s">
        <v>71</v>
      </c>
      <c r="C47" s="40">
        <f>743.02*3</f>
        <v>2229.06</v>
      </c>
      <c r="D47" s="40" t="s">
        <v>71</v>
      </c>
      <c r="E47" s="40" t="s">
        <v>28</v>
      </c>
      <c r="F47" s="40"/>
      <c r="G47" s="40"/>
    </row>
    <row r="48" s="35" customFormat="1" spans="1:7">
      <c r="A48" s="39">
        <v>46027</v>
      </c>
      <c r="B48" s="40" t="s">
        <v>72</v>
      </c>
      <c r="C48" s="40">
        <v>46937.42</v>
      </c>
      <c r="D48" s="40" t="s">
        <v>72</v>
      </c>
      <c r="E48" s="40" t="s">
        <v>28</v>
      </c>
      <c r="F48" s="40"/>
      <c r="G48" s="40"/>
    </row>
    <row r="49" s="35" customFormat="1" spans="1:7">
      <c r="A49" s="39">
        <v>46027</v>
      </c>
      <c r="B49" s="40" t="s">
        <v>73</v>
      </c>
      <c r="C49" s="40">
        <v>5064</v>
      </c>
      <c r="D49" s="40" t="s">
        <v>73</v>
      </c>
      <c r="E49" s="40" t="s">
        <v>28</v>
      </c>
      <c r="F49" s="40"/>
      <c r="G49" s="40"/>
    </row>
    <row r="50" s="35" customFormat="1" spans="1:7">
      <c r="A50" s="39">
        <v>46028</v>
      </c>
      <c r="B50" s="40" t="s">
        <v>74</v>
      </c>
      <c r="C50" s="40">
        <v>1000</v>
      </c>
      <c r="D50" s="40" t="s">
        <v>74</v>
      </c>
      <c r="E50" s="40" t="s">
        <v>28</v>
      </c>
      <c r="F50" s="40"/>
      <c r="G50" s="40"/>
    </row>
    <row r="51" s="35" customFormat="1" spans="1:7">
      <c r="A51" s="39">
        <v>46029</v>
      </c>
      <c r="B51" s="40" t="s">
        <v>75</v>
      </c>
      <c r="C51" s="40">
        <v>200</v>
      </c>
      <c r="D51" s="40" t="s">
        <v>75</v>
      </c>
      <c r="E51" s="40" t="s">
        <v>28</v>
      </c>
      <c r="F51" s="40"/>
      <c r="G51" s="40"/>
    </row>
    <row r="52" s="35" customFormat="1" spans="1:7">
      <c r="A52" s="39">
        <v>46029</v>
      </c>
      <c r="B52" s="40" t="s">
        <v>76</v>
      </c>
      <c r="C52" s="40">
        <v>5000</v>
      </c>
      <c r="D52" s="40" t="s">
        <v>76</v>
      </c>
      <c r="E52" s="40" t="s">
        <v>28</v>
      </c>
      <c r="F52" s="40"/>
      <c r="G52" s="40"/>
    </row>
    <row r="53" s="35" customFormat="1" spans="1:7">
      <c r="A53" s="39">
        <v>46029</v>
      </c>
      <c r="B53" s="40" t="s">
        <v>77</v>
      </c>
      <c r="C53" s="40">
        <v>10549</v>
      </c>
      <c r="D53" s="40" t="s">
        <v>77</v>
      </c>
      <c r="E53" s="40" t="s">
        <v>28</v>
      </c>
      <c r="F53" s="40"/>
      <c r="G53" s="40"/>
    </row>
    <row r="54" s="35" customFormat="1" spans="1:7">
      <c r="A54" s="39">
        <v>46029</v>
      </c>
      <c r="B54" s="40" t="s">
        <v>78</v>
      </c>
      <c r="C54" s="40">
        <v>27860</v>
      </c>
      <c r="D54" s="40" t="s">
        <v>27</v>
      </c>
      <c r="E54" s="40" t="s">
        <v>28</v>
      </c>
      <c r="F54" s="40"/>
      <c r="G54" s="40"/>
    </row>
    <row r="55" s="35" customFormat="1" spans="1:7">
      <c r="A55" s="39">
        <v>46030</v>
      </c>
      <c r="B55" s="40" t="s">
        <v>49</v>
      </c>
      <c r="C55" s="40">
        <v>100600</v>
      </c>
      <c r="D55" s="40" t="s">
        <v>49</v>
      </c>
      <c r="E55" s="40" t="s">
        <v>28</v>
      </c>
      <c r="F55" s="40"/>
      <c r="G55" s="40"/>
    </row>
    <row r="56" s="35" customFormat="1" spans="1:7">
      <c r="A56" s="39">
        <v>46031</v>
      </c>
      <c r="B56" s="40" t="s">
        <v>49</v>
      </c>
      <c r="C56" s="40">
        <v>31500</v>
      </c>
      <c r="D56" s="40" t="s">
        <v>49</v>
      </c>
      <c r="E56" s="40" t="s">
        <v>28</v>
      </c>
      <c r="F56" s="40"/>
      <c r="G56" s="40"/>
    </row>
    <row r="57" s="35" customFormat="1" spans="1:7">
      <c r="A57" s="39">
        <v>46032</v>
      </c>
      <c r="B57" s="40" t="s">
        <v>79</v>
      </c>
      <c r="C57" s="40">
        <v>1000</v>
      </c>
      <c r="D57" s="40" t="s">
        <v>79</v>
      </c>
      <c r="E57" s="40" t="s">
        <v>28</v>
      </c>
      <c r="F57" s="40"/>
      <c r="G57" s="40"/>
    </row>
    <row r="58" s="35" customFormat="1" spans="1:7">
      <c r="A58" s="39">
        <v>46032</v>
      </c>
      <c r="B58" s="40" t="s">
        <v>80</v>
      </c>
      <c r="C58" s="40">
        <v>176700</v>
      </c>
      <c r="D58" s="40" t="s">
        <v>80</v>
      </c>
      <c r="E58" s="40" t="s">
        <v>28</v>
      </c>
      <c r="F58" s="40"/>
      <c r="G58" s="40"/>
    </row>
    <row r="59" s="35" customFormat="1" spans="1:7">
      <c r="A59" s="39">
        <v>46032</v>
      </c>
      <c r="B59" s="42" t="s">
        <v>81</v>
      </c>
      <c r="C59" s="40">
        <v>1140</v>
      </c>
      <c r="D59" s="42" t="s">
        <v>81</v>
      </c>
      <c r="E59" s="40" t="s">
        <v>82</v>
      </c>
      <c r="F59" s="40"/>
      <c r="G59" s="40"/>
    </row>
    <row r="60" s="35" customFormat="1" spans="1:7">
      <c r="A60" s="39">
        <v>46033</v>
      </c>
      <c r="B60" s="40" t="s">
        <v>83</v>
      </c>
      <c r="C60" s="40">
        <v>175700</v>
      </c>
      <c r="D60" s="40" t="s">
        <v>83</v>
      </c>
      <c r="E60" s="40" t="s">
        <v>28</v>
      </c>
      <c r="F60" s="40"/>
      <c r="G60" s="40"/>
    </row>
    <row r="61" s="35" customFormat="1" spans="1:7">
      <c r="A61" s="39">
        <v>46033</v>
      </c>
      <c r="B61" s="42" t="s">
        <v>84</v>
      </c>
      <c r="C61" s="40">
        <v>1140</v>
      </c>
      <c r="D61" s="40" t="s">
        <v>84</v>
      </c>
      <c r="E61" s="40" t="s">
        <v>82</v>
      </c>
      <c r="F61" s="40"/>
      <c r="G61" s="40"/>
    </row>
    <row r="62" s="35" customFormat="1" spans="1:7">
      <c r="A62" s="39">
        <v>46033</v>
      </c>
      <c r="B62" s="40" t="s">
        <v>55</v>
      </c>
      <c r="C62" s="40">
        <v>73780</v>
      </c>
      <c r="D62" s="40" t="s">
        <v>55</v>
      </c>
      <c r="E62" s="40" t="s">
        <v>28</v>
      </c>
      <c r="F62" s="40"/>
      <c r="G62" s="40"/>
    </row>
    <row r="63" s="35" customFormat="1" spans="1:7">
      <c r="A63" s="39">
        <v>46040</v>
      </c>
      <c r="B63" s="40" t="s">
        <v>85</v>
      </c>
      <c r="C63" s="40">
        <v>27860</v>
      </c>
      <c r="D63" s="40" t="s">
        <v>85</v>
      </c>
      <c r="E63" s="40" t="s">
        <v>28</v>
      </c>
      <c r="F63" s="40"/>
      <c r="G63" s="40"/>
    </row>
    <row r="64" spans="1:7">
      <c r="A64" s="39">
        <v>46041</v>
      </c>
      <c r="B64" s="40" t="s">
        <v>41</v>
      </c>
      <c r="C64" s="40">
        <v>91200</v>
      </c>
      <c r="D64" s="40" t="s">
        <v>41</v>
      </c>
      <c r="E64" s="40" t="s">
        <v>28</v>
      </c>
      <c r="F64" s="40"/>
      <c r="G64" s="40"/>
    </row>
    <row r="65" spans="1:7">
      <c r="A65" s="39">
        <v>46042</v>
      </c>
      <c r="B65" s="40" t="s">
        <v>86</v>
      </c>
      <c r="C65" s="40">
        <v>133000</v>
      </c>
      <c r="D65" s="40" t="s">
        <v>87</v>
      </c>
      <c r="E65" s="40" t="s">
        <v>28</v>
      </c>
      <c r="F65" s="40"/>
      <c r="G65" s="40"/>
    </row>
    <row r="66" spans="1:7">
      <c r="A66" s="39">
        <v>46042</v>
      </c>
      <c r="B66" s="40" t="s">
        <v>79</v>
      </c>
      <c r="C66" s="40">
        <v>1000</v>
      </c>
      <c r="D66" s="40" t="s">
        <v>79</v>
      </c>
      <c r="E66" s="40" t="s">
        <v>28</v>
      </c>
      <c r="F66" s="40"/>
      <c r="G66" s="40"/>
    </row>
    <row r="67" spans="1:7">
      <c r="A67" s="44">
        <v>46043</v>
      </c>
      <c r="B67" s="45" t="s">
        <v>88</v>
      </c>
      <c r="C67" s="45">
        <v>32120</v>
      </c>
      <c r="D67" s="45" t="s">
        <v>88</v>
      </c>
      <c r="E67" s="45" t="s">
        <v>28</v>
      </c>
      <c r="F67" s="45"/>
      <c r="G67" s="45"/>
    </row>
    <row r="68" s="35" customFormat="1" spans="1:7">
      <c r="A68" s="44">
        <v>46043</v>
      </c>
      <c r="B68" s="45" t="s">
        <v>46</v>
      </c>
      <c r="C68" s="46">
        <v>617.77</v>
      </c>
      <c r="D68" s="45" t="s">
        <v>47</v>
      </c>
      <c r="E68" s="45" t="s">
        <v>48</v>
      </c>
      <c r="F68" s="45"/>
      <c r="G68" s="45"/>
    </row>
    <row r="69" spans="1:7">
      <c r="A69" s="44">
        <v>46044</v>
      </c>
      <c r="B69" s="45" t="s">
        <v>79</v>
      </c>
      <c r="C69" s="45">
        <v>1000</v>
      </c>
      <c r="D69" s="45" t="s">
        <v>79</v>
      </c>
      <c r="E69" s="45" t="s">
        <v>28</v>
      </c>
      <c r="F69" s="45"/>
      <c r="G69" s="45"/>
    </row>
    <row r="70" spans="1:7">
      <c r="A70" s="44">
        <v>46044</v>
      </c>
      <c r="B70" s="45" t="s">
        <v>89</v>
      </c>
      <c r="C70" s="45">
        <v>24080</v>
      </c>
      <c r="D70" s="45" t="s">
        <v>89</v>
      </c>
      <c r="E70" s="45" t="s">
        <v>28</v>
      </c>
      <c r="F70" s="45"/>
      <c r="G70" s="45"/>
    </row>
    <row r="71" spans="1:7">
      <c r="A71" s="44">
        <v>46047</v>
      </c>
      <c r="B71" s="45" t="s">
        <v>90</v>
      </c>
      <c r="C71" s="45">
        <v>38844</v>
      </c>
      <c r="D71" s="45" t="s">
        <v>90</v>
      </c>
      <c r="E71" s="45" t="s">
        <v>28</v>
      </c>
      <c r="F71" s="45"/>
      <c r="G71" s="45"/>
    </row>
    <row r="72" spans="1:7">
      <c r="A72" s="44">
        <v>46050</v>
      </c>
      <c r="B72" s="45" t="s">
        <v>55</v>
      </c>
      <c r="C72" s="45">
        <v>73780</v>
      </c>
      <c r="D72" s="45" t="s">
        <v>55</v>
      </c>
      <c r="E72" s="45" t="s">
        <v>28</v>
      </c>
      <c r="F72" s="45"/>
      <c r="G72" s="45"/>
    </row>
    <row r="73" spans="1:7">
      <c r="A73" s="44">
        <v>46054</v>
      </c>
      <c r="B73" s="45" t="s">
        <v>91</v>
      </c>
      <c r="C73" s="45">
        <v>70300</v>
      </c>
      <c r="D73" s="45" t="s">
        <v>91</v>
      </c>
      <c r="E73" s="45" t="s">
        <v>28</v>
      </c>
      <c r="F73" s="45"/>
      <c r="G73" s="45"/>
    </row>
    <row r="74" spans="1:7">
      <c r="A74" s="44">
        <v>46054</v>
      </c>
      <c r="B74" s="45" t="s">
        <v>91</v>
      </c>
      <c r="C74" s="45">
        <v>1850</v>
      </c>
      <c r="D74" s="45" t="s">
        <v>91</v>
      </c>
      <c r="E74" s="45" t="s">
        <v>28</v>
      </c>
      <c r="F74" s="45"/>
      <c r="G74" s="45"/>
    </row>
    <row r="75" spans="1:7">
      <c r="A75" s="44">
        <v>46054</v>
      </c>
      <c r="B75" s="45" t="s">
        <v>92</v>
      </c>
      <c r="C75" s="45">
        <v>2000</v>
      </c>
      <c r="D75" s="45" t="s">
        <v>92</v>
      </c>
      <c r="E75" s="45" t="s">
        <v>28</v>
      </c>
      <c r="F75" s="45"/>
      <c r="G75" s="45"/>
    </row>
    <row r="76" spans="1:7">
      <c r="A76" s="44">
        <v>46055</v>
      </c>
      <c r="B76" s="45" t="s">
        <v>93</v>
      </c>
      <c r="C76" s="45">
        <v>35</v>
      </c>
      <c r="D76" s="45" t="s">
        <v>93</v>
      </c>
      <c r="E76" s="45" t="s">
        <v>28</v>
      </c>
      <c r="F76" s="45"/>
      <c r="G76" s="45"/>
    </row>
    <row r="77" spans="1:7">
      <c r="A77" s="47">
        <v>46056</v>
      </c>
      <c r="B77" s="48" t="s">
        <v>94</v>
      </c>
      <c r="C77" s="48">
        <v>1000</v>
      </c>
      <c r="D77" s="48" t="s">
        <v>94</v>
      </c>
      <c r="E77" s="49" t="s">
        <v>28</v>
      </c>
      <c r="F77" s="48"/>
      <c r="G77" s="48"/>
    </row>
    <row r="78" spans="1:7">
      <c r="A78" s="47">
        <v>46056</v>
      </c>
      <c r="B78" s="48" t="s">
        <v>95</v>
      </c>
      <c r="C78" s="48">
        <v>23129</v>
      </c>
      <c r="D78" s="48" t="s">
        <v>95</v>
      </c>
      <c r="E78" s="49" t="s">
        <v>28</v>
      </c>
      <c r="F78" s="48"/>
      <c r="G78" s="48"/>
    </row>
    <row r="79" spans="1:7">
      <c r="A79" s="47">
        <v>46057</v>
      </c>
      <c r="B79" s="48" t="s">
        <v>96</v>
      </c>
      <c r="C79" s="48">
        <v>25020</v>
      </c>
      <c r="D79" s="48" t="s">
        <v>96</v>
      </c>
      <c r="E79" s="49" t="s">
        <v>28</v>
      </c>
      <c r="F79" s="48"/>
      <c r="G79" s="48"/>
    </row>
    <row r="80" spans="1:7">
      <c r="A80" s="47">
        <v>46059</v>
      </c>
      <c r="B80" s="48" t="s">
        <v>97</v>
      </c>
      <c r="C80" s="48">
        <v>8100</v>
      </c>
      <c r="D80" s="48" t="s">
        <v>97</v>
      </c>
      <c r="E80" s="49" t="s">
        <v>28</v>
      </c>
      <c r="F80" s="48"/>
      <c r="G80" s="48"/>
    </row>
    <row r="81" spans="1:7">
      <c r="A81" s="47">
        <v>46062</v>
      </c>
      <c r="B81" s="48" t="s">
        <v>98</v>
      </c>
      <c r="C81" s="48">
        <v>3393</v>
      </c>
      <c r="D81" s="48" t="s">
        <v>98</v>
      </c>
      <c r="E81" s="49" t="s">
        <v>28</v>
      </c>
      <c r="F81" s="48"/>
      <c r="G81" s="48"/>
    </row>
    <row r="82" s="35" customFormat="1" spans="1:7">
      <c r="A82" s="47">
        <v>46066</v>
      </c>
      <c r="B82" s="48" t="s">
        <v>99</v>
      </c>
      <c r="C82" s="50">
        <v>4817.91</v>
      </c>
      <c r="D82" s="48" t="s">
        <v>99</v>
      </c>
      <c r="E82" s="49" t="s">
        <v>28</v>
      </c>
      <c r="F82" s="48"/>
      <c r="G82" s="48"/>
    </row>
    <row r="83" s="35" customFormat="1" spans="1:7">
      <c r="A83" s="47">
        <v>46066</v>
      </c>
      <c r="B83" s="48" t="s">
        <v>55</v>
      </c>
      <c r="C83" s="51">
        <v>76580</v>
      </c>
      <c r="D83" s="48" t="s">
        <v>55</v>
      </c>
      <c r="E83" s="49" t="s">
        <v>28</v>
      </c>
      <c r="F83" s="48"/>
      <c r="G83" s="48"/>
    </row>
    <row r="84" s="35" customFormat="1" spans="1:7">
      <c r="A84" s="47">
        <v>46067</v>
      </c>
      <c r="B84" s="52" t="s">
        <v>100</v>
      </c>
      <c r="C84" s="48">
        <v>0</v>
      </c>
      <c r="D84" s="52" t="s">
        <v>100</v>
      </c>
      <c r="E84" s="49" t="s">
        <v>28</v>
      </c>
      <c r="F84" s="48">
        <v>228859.7</v>
      </c>
      <c r="G84" s="48"/>
    </row>
    <row r="85" spans="1:7">
      <c r="A85" s="47">
        <v>46076</v>
      </c>
      <c r="B85" s="48" t="s">
        <v>94</v>
      </c>
      <c r="C85" s="48">
        <v>1000</v>
      </c>
      <c r="D85" s="48" t="s">
        <v>94</v>
      </c>
      <c r="E85" s="49" t="s">
        <v>28</v>
      </c>
      <c r="F85" s="48"/>
      <c r="G85" s="48"/>
    </row>
    <row r="86" spans="1:7">
      <c r="A86" s="47">
        <v>46076</v>
      </c>
      <c r="B86" s="48" t="s">
        <v>96</v>
      </c>
      <c r="C86" s="48">
        <v>24904</v>
      </c>
      <c r="D86" s="48" t="s">
        <v>96</v>
      </c>
      <c r="E86" s="49" t="s">
        <v>28</v>
      </c>
      <c r="F86" s="48"/>
      <c r="G86" s="48"/>
    </row>
    <row r="87" spans="1:7">
      <c r="A87" s="47">
        <v>46076</v>
      </c>
      <c r="B87" s="48" t="s">
        <v>55</v>
      </c>
      <c r="C87" s="48">
        <v>73780</v>
      </c>
      <c r="D87" s="48" t="s">
        <v>55</v>
      </c>
      <c r="E87" s="49" t="s">
        <v>28</v>
      </c>
      <c r="F87" s="48"/>
      <c r="G87" s="48"/>
    </row>
    <row r="88" spans="1:7">
      <c r="A88" s="47">
        <v>46078</v>
      </c>
      <c r="B88" s="48" t="s">
        <v>96</v>
      </c>
      <c r="C88" s="52">
        <v>24904</v>
      </c>
      <c r="D88" s="48" t="s">
        <v>96</v>
      </c>
      <c r="E88" s="49" t="s">
        <v>28</v>
      </c>
      <c r="F88" s="48"/>
      <c r="G88" s="48"/>
    </row>
    <row r="89" spans="1:7">
      <c r="A89" s="47">
        <v>46079</v>
      </c>
      <c r="B89" s="48" t="s">
        <v>94</v>
      </c>
      <c r="C89" s="48">
        <v>1000</v>
      </c>
      <c r="D89" s="48" t="s">
        <v>94</v>
      </c>
      <c r="E89" s="49" t="s">
        <v>28</v>
      </c>
      <c r="F89" s="48"/>
      <c r="G89" s="48"/>
    </row>
    <row r="90" spans="1:7">
      <c r="A90" s="47">
        <v>46079</v>
      </c>
      <c r="B90" s="48" t="s">
        <v>96</v>
      </c>
      <c r="C90" s="48">
        <v>17472</v>
      </c>
      <c r="D90" s="48" t="s">
        <v>96</v>
      </c>
      <c r="E90" s="49" t="s">
        <v>28</v>
      </c>
      <c r="F90" s="48"/>
      <c r="G90" s="48"/>
    </row>
    <row r="91" spans="1:7">
      <c r="A91" s="47">
        <v>46079</v>
      </c>
      <c r="B91" s="48" t="s">
        <v>55</v>
      </c>
      <c r="C91" s="48">
        <v>73780</v>
      </c>
      <c r="D91" s="48" t="s">
        <v>55</v>
      </c>
      <c r="E91" s="49" t="s">
        <v>28</v>
      </c>
      <c r="F91" s="48"/>
      <c r="G91" s="48"/>
    </row>
    <row r="92" spans="1:7">
      <c r="A92" s="47">
        <v>46085</v>
      </c>
      <c r="B92" s="52" t="s">
        <v>93</v>
      </c>
      <c r="C92" s="48">
        <v>6</v>
      </c>
      <c r="D92" s="52" t="s">
        <v>93</v>
      </c>
      <c r="E92" s="49" t="s">
        <v>28</v>
      </c>
      <c r="F92" s="48"/>
      <c r="G92" s="48"/>
    </row>
    <row r="93" spans="1:7">
      <c r="A93" s="47">
        <v>46086</v>
      </c>
      <c r="B93" s="52" t="s">
        <v>96</v>
      </c>
      <c r="C93" s="40">
        <v>49344</v>
      </c>
      <c r="D93" s="52" t="s">
        <v>96</v>
      </c>
      <c r="E93" s="49" t="s">
        <v>28</v>
      </c>
      <c r="F93" s="48"/>
      <c r="G93" s="48"/>
    </row>
    <row r="94" spans="1:7">
      <c r="A94" s="47">
        <v>46087</v>
      </c>
      <c r="B94" s="52" t="s">
        <v>101</v>
      </c>
      <c r="C94" s="40">
        <v>45540</v>
      </c>
      <c r="D94" s="52" t="s">
        <v>101</v>
      </c>
      <c r="E94" s="49" t="s">
        <v>28</v>
      </c>
      <c r="F94" s="48"/>
      <c r="G94" s="48"/>
    </row>
    <row r="95" spans="1:7">
      <c r="A95" s="47">
        <v>46087</v>
      </c>
      <c r="B95" s="52" t="s">
        <v>102</v>
      </c>
      <c r="C95" s="40">
        <v>17112</v>
      </c>
      <c r="D95" s="52" t="s">
        <v>102</v>
      </c>
      <c r="E95" s="49" t="s">
        <v>28</v>
      </c>
      <c r="F95" s="48"/>
      <c r="G95" s="48"/>
    </row>
    <row r="96" spans="1:7">
      <c r="A96" s="47">
        <v>46087</v>
      </c>
      <c r="B96" s="52" t="s">
        <v>103</v>
      </c>
      <c r="C96" s="40">
        <v>4053</v>
      </c>
      <c r="D96" s="52" t="s">
        <v>103</v>
      </c>
      <c r="E96" s="49" t="s">
        <v>28</v>
      </c>
      <c r="F96" s="48"/>
      <c r="G96" s="48"/>
    </row>
    <row r="97" spans="1:7">
      <c r="A97" s="53">
        <v>46088</v>
      </c>
      <c r="B97" s="52" t="s">
        <v>94</v>
      </c>
      <c r="C97" s="54">
        <v>1000</v>
      </c>
      <c r="D97" s="52" t="s">
        <v>94</v>
      </c>
      <c r="E97" s="49" t="s">
        <v>28</v>
      </c>
      <c r="F97" s="48"/>
      <c r="G97" s="48"/>
    </row>
    <row r="98" spans="1:7">
      <c r="A98" s="53">
        <v>46089</v>
      </c>
      <c r="B98" s="52" t="s">
        <v>96</v>
      </c>
      <c r="C98" s="42">
        <v>14560</v>
      </c>
      <c r="D98" s="52" t="s">
        <v>96</v>
      </c>
      <c r="E98" s="49" t="s">
        <v>28</v>
      </c>
      <c r="F98" s="48"/>
      <c r="G98" s="48"/>
    </row>
    <row r="99" spans="1:7">
      <c r="A99" s="53">
        <v>46089</v>
      </c>
      <c r="B99" s="52" t="s">
        <v>51</v>
      </c>
      <c r="C99" s="42">
        <v>44400</v>
      </c>
      <c r="D99" s="52" t="s">
        <v>51</v>
      </c>
      <c r="E99" s="49" t="s">
        <v>28</v>
      </c>
      <c r="F99" s="48"/>
      <c r="G99" s="48"/>
    </row>
    <row r="100" spans="1:7">
      <c r="A100" s="53">
        <v>46089</v>
      </c>
      <c r="B100" s="52" t="s">
        <v>51</v>
      </c>
      <c r="C100" s="42">
        <v>41625</v>
      </c>
      <c r="D100" s="52" t="s">
        <v>51</v>
      </c>
      <c r="E100" s="49" t="s">
        <v>28</v>
      </c>
      <c r="F100" s="48"/>
      <c r="G100" s="48"/>
    </row>
    <row r="101" spans="1:7">
      <c r="A101" s="53">
        <v>46092</v>
      </c>
      <c r="B101" s="48" t="s">
        <v>96</v>
      </c>
      <c r="C101" s="40">
        <v>36412.5</v>
      </c>
      <c r="D101" s="48" t="s">
        <v>96</v>
      </c>
      <c r="E101" s="49" t="s">
        <v>28</v>
      </c>
      <c r="F101" s="48"/>
      <c r="G101" s="48"/>
    </row>
    <row r="102" spans="1:7">
      <c r="A102" s="53">
        <v>46103</v>
      </c>
      <c r="B102" s="48" t="s">
        <v>51</v>
      </c>
      <c r="C102" s="40">
        <v>35850</v>
      </c>
      <c r="D102" s="48" t="s">
        <v>51</v>
      </c>
      <c r="E102" s="49" t="s">
        <v>28</v>
      </c>
      <c r="F102" s="48"/>
      <c r="G102" s="48"/>
    </row>
    <row r="103" spans="1:7">
      <c r="A103" s="53">
        <v>46103</v>
      </c>
      <c r="B103" s="48" t="s">
        <v>104</v>
      </c>
      <c r="C103" s="40">
        <v>19864</v>
      </c>
      <c r="D103" s="48" t="s">
        <v>104</v>
      </c>
      <c r="E103" s="49" t="s">
        <v>28</v>
      </c>
      <c r="F103" s="48"/>
      <c r="G103" s="48"/>
    </row>
    <row r="104" spans="1:7">
      <c r="A104" s="53">
        <v>46105</v>
      </c>
      <c r="B104" s="52" t="s">
        <v>94</v>
      </c>
      <c r="C104" s="42">
        <v>1000</v>
      </c>
      <c r="D104" s="52" t="s">
        <v>94</v>
      </c>
      <c r="E104" s="49" t="s">
        <v>105</v>
      </c>
      <c r="F104" s="48"/>
      <c r="G104" s="48"/>
    </row>
    <row r="105" spans="1:7">
      <c r="A105" s="53">
        <v>46105</v>
      </c>
      <c r="B105" s="52" t="s">
        <v>94</v>
      </c>
      <c r="C105" s="42">
        <v>1000</v>
      </c>
      <c r="D105" s="52" t="s">
        <v>94</v>
      </c>
      <c r="E105" s="49" t="s">
        <v>28</v>
      </c>
      <c r="F105" s="48"/>
      <c r="G105" s="48"/>
    </row>
    <row r="106" spans="1:7">
      <c r="A106" s="53">
        <v>46106</v>
      </c>
      <c r="B106" s="48" t="s">
        <v>106</v>
      </c>
      <c r="C106" s="43">
        <v>11600</v>
      </c>
      <c r="D106" s="48" t="s">
        <v>106</v>
      </c>
      <c r="E106" s="49" t="s">
        <v>28</v>
      </c>
      <c r="F106" s="48"/>
      <c r="G106" s="48"/>
    </row>
    <row r="107" spans="1:7">
      <c r="A107" s="53">
        <v>46106</v>
      </c>
      <c r="B107" s="48" t="s">
        <v>107</v>
      </c>
      <c r="C107" s="40">
        <v>1890</v>
      </c>
      <c r="D107" s="48" t="s">
        <v>107</v>
      </c>
      <c r="E107" s="49" t="s">
        <v>28</v>
      </c>
      <c r="F107" s="48"/>
      <c r="G107" s="48"/>
    </row>
    <row r="108" spans="1:7">
      <c r="A108" s="53">
        <v>46107</v>
      </c>
      <c r="B108" s="48" t="s">
        <v>55</v>
      </c>
      <c r="C108" s="40">
        <v>84240</v>
      </c>
      <c r="D108" s="48" t="s">
        <v>55</v>
      </c>
      <c r="E108" s="49" t="s">
        <v>28</v>
      </c>
      <c r="F108" s="48"/>
      <c r="G108" s="48"/>
    </row>
    <row r="109" spans="1:7">
      <c r="A109" s="53">
        <v>46109</v>
      </c>
      <c r="B109" s="48" t="s">
        <v>108</v>
      </c>
      <c r="C109" s="40">
        <v>1000</v>
      </c>
      <c r="D109" s="48" t="s">
        <v>108</v>
      </c>
      <c r="E109" s="40" t="s">
        <v>82</v>
      </c>
      <c r="F109" s="48"/>
      <c r="G109" s="48"/>
    </row>
    <row r="110" spans="1:7">
      <c r="A110" s="53">
        <v>46110</v>
      </c>
      <c r="B110" s="48" t="s">
        <v>33</v>
      </c>
      <c r="C110" s="40">
        <v>43340</v>
      </c>
      <c r="D110" s="48" t="s">
        <v>33</v>
      </c>
      <c r="E110" s="49" t="s">
        <v>28</v>
      </c>
      <c r="F110" s="48"/>
      <c r="G110" s="48"/>
    </row>
    <row r="111" spans="1:7">
      <c r="A111" s="53">
        <v>46111</v>
      </c>
      <c r="B111" s="48" t="s">
        <v>109</v>
      </c>
      <c r="C111" s="40">
        <v>30140</v>
      </c>
      <c r="D111" s="48" t="s">
        <v>109</v>
      </c>
      <c r="E111" s="49" t="s">
        <v>28</v>
      </c>
      <c r="F111" s="48"/>
      <c r="G111" s="48"/>
    </row>
    <row r="112" spans="1:7">
      <c r="A112" s="53">
        <v>46114</v>
      </c>
      <c r="B112" s="48" t="s">
        <v>110</v>
      </c>
      <c r="C112" s="40">
        <v>28910</v>
      </c>
      <c r="D112" s="48" t="s">
        <v>110</v>
      </c>
      <c r="E112" s="49" t="s">
        <v>28</v>
      </c>
      <c r="F112" s="48"/>
      <c r="G112" s="48"/>
    </row>
    <row r="113" spans="1:7">
      <c r="A113" s="53">
        <v>46114</v>
      </c>
      <c r="B113" s="48" t="s">
        <v>108</v>
      </c>
      <c r="C113" s="40">
        <v>1000</v>
      </c>
      <c r="D113" s="48" t="s">
        <v>108</v>
      </c>
      <c r="E113" s="49" t="s">
        <v>28</v>
      </c>
      <c r="F113" s="48"/>
      <c r="G113" s="48"/>
    </row>
    <row r="114" spans="1:7">
      <c r="A114" s="53">
        <v>46115</v>
      </c>
      <c r="B114" s="52" t="s">
        <v>111</v>
      </c>
      <c r="C114" s="40">
        <v>1200</v>
      </c>
      <c r="D114" s="52" t="s">
        <v>111</v>
      </c>
      <c r="E114" s="49" t="s">
        <v>28</v>
      </c>
      <c r="F114" s="48"/>
      <c r="G114" s="48"/>
    </row>
    <row r="115" spans="1:7">
      <c r="A115" s="53">
        <v>46115</v>
      </c>
      <c r="B115" s="52" t="s">
        <v>96</v>
      </c>
      <c r="C115" s="40">
        <v>30144</v>
      </c>
      <c r="D115" s="52" t="s">
        <v>96</v>
      </c>
      <c r="E115" s="49" t="s">
        <v>28</v>
      </c>
      <c r="F115" s="48"/>
      <c r="G115" s="48"/>
    </row>
    <row r="116" spans="1:7">
      <c r="A116" s="53">
        <v>46116</v>
      </c>
      <c r="B116" s="52" t="s">
        <v>51</v>
      </c>
      <c r="C116" s="40">
        <v>40975</v>
      </c>
      <c r="D116" s="52" t="s">
        <v>51</v>
      </c>
      <c r="E116" s="49" t="s">
        <v>28</v>
      </c>
      <c r="F116" s="48"/>
      <c r="G116" s="48"/>
    </row>
    <row r="117" spans="1:7">
      <c r="A117" s="53">
        <v>46116</v>
      </c>
      <c r="B117" s="52" t="s">
        <v>112</v>
      </c>
      <c r="C117" s="55">
        <v>1885</v>
      </c>
      <c r="D117" s="52" t="s">
        <v>112</v>
      </c>
      <c r="E117" s="49" t="s">
        <v>28</v>
      </c>
      <c r="F117" s="56"/>
      <c r="G117" s="52"/>
    </row>
    <row r="118" spans="1:7">
      <c r="A118" s="53">
        <v>46118</v>
      </c>
      <c r="B118" s="52" t="s">
        <v>113</v>
      </c>
      <c r="C118" s="55">
        <v>27524</v>
      </c>
      <c r="D118" s="52" t="s">
        <v>113</v>
      </c>
      <c r="E118" s="49" t="s">
        <v>28</v>
      </c>
      <c r="F118" s="56"/>
      <c r="G118" s="52"/>
    </row>
    <row r="119" spans="1:7">
      <c r="A119" s="53">
        <v>46118</v>
      </c>
      <c r="B119" s="52" t="s">
        <v>114</v>
      </c>
      <c r="C119" s="55">
        <v>28195</v>
      </c>
      <c r="D119" s="52" t="s">
        <v>114</v>
      </c>
      <c r="E119" s="49" t="s">
        <v>28</v>
      </c>
      <c r="F119" s="56"/>
      <c r="G119" s="52"/>
    </row>
    <row r="120" spans="1:7">
      <c r="A120" s="53">
        <v>46118</v>
      </c>
      <c r="B120" s="52" t="s">
        <v>115</v>
      </c>
      <c r="C120" s="40">
        <v>18918</v>
      </c>
      <c r="D120" s="52" t="s">
        <v>115</v>
      </c>
      <c r="E120" s="49" t="s">
        <v>28</v>
      </c>
      <c r="F120" s="48"/>
      <c r="G120" s="52"/>
    </row>
    <row r="121" spans="1:7">
      <c r="A121" s="53">
        <v>46119</v>
      </c>
      <c r="B121" s="52" t="s">
        <v>113</v>
      </c>
      <c r="C121" s="40">
        <v>28884</v>
      </c>
      <c r="D121" s="52" t="s">
        <v>113</v>
      </c>
      <c r="E121" s="49" t="s">
        <v>28</v>
      </c>
      <c r="F121" s="48"/>
      <c r="G121" s="52"/>
    </row>
    <row r="122" spans="1:7">
      <c r="A122" s="53">
        <v>46119</v>
      </c>
      <c r="B122" s="52" t="s">
        <v>112</v>
      </c>
      <c r="C122" s="40">
        <v>1800.1</v>
      </c>
      <c r="D122" s="52" t="s">
        <v>112</v>
      </c>
      <c r="E122" s="49" t="s">
        <v>28</v>
      </c>
      <c r="F122" s="48"/>
      <c r="G122" s="52"/>
    </row>
    <row r="123" spans="1:7">
      <c r="A123" s="53">
        <v>46119</v>
      </c>
      <c r="B123" s="48" t="s">
        <v>116</v>
      </c>
      <c r="C123" s="40">
        <v>63304</v>
      </c>
      <c r="D123" s="48" t="s">
        <v>116</v>
      </c>
      <c r="E123" s="49" t="s">
        <v>28</v>
      </c>
      <c r="F123" s="48"/>
      <c r="G123" s="52"/>
    </row>
    <row r="124" spans="1:7">
      <c r="A124" s="53">
        <v>46119</v>
      </c>
      <c r="B124" s="48" t="s">
        <v>116</v>
      </c>
      <c r="C124" s="40">
        <v>18935</v>
      </c>
      <c r="D124" s="48" t="s">
        <v>116</v>
      </c>
      <c r="E124" s="49" t="s">
        <v>28</v>
      </c>
      <c r="F124" s="48"/>
      <c r="G124" s="52"/>
    </row>
    <row r="125" spans="1:7">
      <c r="A125" s="53">
        <v>46120</v>
      </c>
      <c r="B125" s="52" t="s">
        <v>51</v>
      </c>
      <c r="C125" s="57">
        <v>44160</v>
      </c>
      <c r="D125" s="52" t="s">
        <v>51</v>
      </c>
      <c r="E125" s="49" t="s">
        <v>28</v>
      </c>
      <c r="F125" s="48"/>
      <c r="G125" s="52"/>
    </row>
    <row r="126" spans="1:7">
      <c r="A126" s="53">
        <v>46120</v>
      </c>
      <c r="B126" s="52" t="s">
        <v>51</v>
      </c>
      <c r="C126" s="57">
        <v>44460</v>
      </c>
      <c r="D126" s="52" t="s">
        <v>51</v>
      </c>
      <c r="E126" s="49" t="s">
        <v>28</v>
      </c>
      <c r="F126" s="48"/>
      <c r="G126" s="52"/>
    </row>
    <row r="127" spans="1:7">
      <c r="A127" s="53">
        <v>46120</v>
      </c>
      <c r="B127" s="52" t="s">
        <v>117</v>
      </c>
      <c r="C127" s="57">
        <f>869*3</f>
        <v>2607</v>
      </c>
      <c r="D127" s="52" t="s">
        <v>117</v>
      </c>
      <c r="E127" s="49" t="s">
        <v>28</v>
      </c>
      <c r="F127" s="48"/>
      <c r="G127" s="52"/>
    </row>
    <row r="128" spans="1:7">
      <c r="A128" s="53">
        <v>46120</v>
      </c>
      <c r="B128" s="52" t="s">
        <v>55</v>
      </c>
      <c r="C128" s="57">
        <v>84240</v>
      </c>
      <c r="D128" s="52" t="s">
        <v>55</v>
      </c>
      <c r="E128" s="49" t="s">
        <v>28</v>
      </c>
      <c r="F128" s="48"/>
      <c r="G128" s="52"/>
    </row>
    <row r="129" spans="1:7">
      <c r="A129" s="53">
        <v>46120</v>
      </c>
      <c r="B129" s="50" t="s">
        <v>108</v>
      </c>
      <c r="C129" s="57">
        <v>1000</v>
      </c>
      <c r="D129" s="50" t="s">
        <v>108</v>
      </c>
      <c r="E129" s="49" t="s">
        <v>28</v>
      </c>
      <c r="F129" s="48"/>
      <c r="G129" s="52"/>
    </row>
    <row r="130" spans="1:7">
      <c r="A130" s="33">
        <v>46122</v>
      </c>
      <c r="B130" s="27" t="s">
        <v>96</v>
      </c>
      <c r="C130" s="58">
        <v>28884</v>
      </c>
      <c r="D130" s="27" t="s">
        <v>96</v>
      </c>
      <c r="E130" s="49" t="s">
        <v>28</v>
      </c>
      <c r="F130" s="25"/>
    </row>
    <row r="131" spans="1:7">
      <c r="A131" s="33">
        <v>46122</v>
      </c>
      <c r="B131" s="27" t="s">
        <v>118</v>
      </c>
      <c r="C131" s="58">
        <v>70000</v>
      </c>
      <c r="D131" s="27" t="s">
        <v>118</v>
      </c>
      <c r="E131" s="49" t="s">
        <v>28</v>
      </c>
      <c r="F131" s="25"/>
    </row>
    <row r="132" spans="1:7">
      <c r="A132" s="33">
        <v>46122</v>
      </c>
      <c r="B132" s="27" t="s">
        <v>118</v>
      </c>
      <c r="C132" s="58">
        <v>12800</v>
      </c>
      <c r="D132" s="27" t="s">
        <v>118</v>
      </c>
      <c r="E132" s="49" t="s">
        <v>28</v>
      </c>
      <c r="F132" s="25"/>
    </row>
    <row r="133" spans="1:7">
      <c r="A133" s="33">
        <v>46124</v>
      </c>
      <c r="B133" s="25" t="s">
        <v>96</v>
      </c>
      <c r="C133" s="59">
        <v>18700</v>
      </c>
      <c r="D133" s="25" t="s">
        <v>96</v>
      </c>
      <c r="E133" s="49" t="s">
        <v>28</v>
      </c>
      <c r="F133" s="25"/>
    </row>
    <row r="134" spans="1:7">
      <c r="A134" s="33">
        <v>46124</v>
      </c>
      <c r="B134" s="60" t="s">
        <v>111</v>
      </c>
      <c r="C134" s="59">
        <v>1050</v>
      </c>
      <c r="D134" s="60" t="s">
        <v>111</v>
      </c>
      <c r="E134" s="49" t="s">
        <v>28</v>
      </c>
      <c r="F134" s="25"/>
    </row>
    <row r="135" spans="1:7">
      <c r="A135" s="33">
        <v>46125</v>
      </c>
      <c r="B135" s="60" t="s">
        <v>112</v>
      </c>
      <c r="C135" s="59">
        <v>1900</v>
      </c>
      <c r="D135" s="60" t="s">
        <v>112</v>
      </c>
      <c r="E135" s="49" t="s">
        <v>28</v>
      </c>
      <c r="F135" s="25"/>
    </row>
    <row r="136" spans="1:7">
      <c r="A136" s="33">
        <v>46125</v>
      </c>
      <c r="B136" s="25" t="s">
        <v>119</v>
      </c>
      <c r="C136" s="59">
        <v>320</v>
      </c>
      <c r="D136" s="25" t="s">
        <v>119</v>
      </c>
      <c r="E136" s="25" t="s">
        <v>25</v>
      </c>
      <c r="F136" s="25"/>
    </row>
    <row r="137" spans="1:7">
      <c r="A137" s="33">
        <v>46129</v>
      </c>
      <c r="B137" s="60" t="s">
        <v>110</v>
      </c>
      <c r="C137" s="58">
        <v>23695</v>
      </c>
      <c r="D137" s="60" t="s">
        <v>110</v>
      </c>
      <c r="E137" s="49" t="s">
        <v>28</v>
      </c>
      <c r="F137" s="25"/>
    </row>
    <row r="138" spans="1:7">
      <c r="A138" s="33">
        <v>46129</v>
      </c>
      <c r="B138" s="60" t="s">
        <v>96</v>
      </c>
      <c r="C138" s="58">
        <v>18750</v>
      </c>
      <c r="D138" s="60" t="s">
        <v>96</v>
      </c>
      <c r="E138" s="49" t="s">
        <v>28</v>
      </c>
      <c r="F138" s="25"/>
    </row>
    <row r="139" spans="1:7">
      <c r="A139" s="33">
        <v>46130</v>
      </c>
      <c r="B139" s="60" t="s">
        <v>112</v>
      </c>
      <c r="C139" s="59">
        <v>1855</v>
      </c>
      <c r="D139" s="60" t="s">
        <v>112</v>
      </c>
      <c r="E139" s="49" t="s">
        <v>28</v>
      </c>
      <c r="F139" s="25"/>
    </row>
    <row r="140" spans="1:7">
      <c r="A140" s="33">
        <v>46130</v>
      </c>
      <c r="B140" s="60" t="s">
        <v>120</v>
      </c>
      <c r="C140" s="61">
        <v>120</v>
      </c>
      <c r="D140" s="60" t="s">
        <v>120</v>
      </c>
      <c r="E140" s="49" t="s">
        <v>28</v>
      </c>
      <c r="F140" s="25"/>
    </row>
    <row r="141" spans="1:7">
      <c r="A141" s="33">
        <v>46131</v>
      </c>
      <c r="B141" s="60" t="s">
        <v>121</v>
      </c>
      <c r="C141" s="61">
        <v>1000</v>
      </c>
      <c r="D141" s="60" t="s">
        <v>121</v>
      </c>
      <c r="E141" s="25" t="s">
        <v>25</v>
      </c>
      <c r="F141" s="25"/>
    </row>
    <row r="142" spans="1:7">
      <c r="A142" s="33">
        <v>46132</v>
      </c>
      <c r="B142" s="60" t="s">
        <v>122</v>
      </c>
      <c r="C142" s="58">
        <v>5794.2</v>
      </c>
      <c r="D142" s="60" t="s">
        <v>122</v>
      </c>
      <c r="E142" s="49" t="s">
        <v>28</v>
      </c>
      <c r="F142" s="25"/>
    </row>
    <row r="143" spans="1:7">
      <c r="A143" s="33">
        <v>46132</v>
      </c>
      <c r="B143" s="60" t="s">
        <v>122</v>
      </c>
      <c r="C143" s="61">
        <v>8472.53</v>
      </c>
      <c r="D143" s="60" t="s">
        <v>122</v>
      </c>
      <c r="E143" s="49" t="s">
        <v>28</v>
      </c>
      <c r="F143" s="25"/>
    </row>
    <row r="144" spans="1:7">
      <c r="A144" s="33">
        <v>46132</v>
      </c>
      <c r="B144" s="60" t="s">
        <v>122</v>
      </c>
      <c r="C144" s="61">
        <v>12690.6</v>
      </c>
      <c r="D144" s="60" t="s">
        <v>122</v>
      </c>
      <c r="E144" s="49" t="s">
        <v>28</v>
      </c>
      <c r="F144" s="25"/>
    </row>
    <row r="145" spans="1:6">
      <c r="A145" s="33">
        <v>46133</v>
      </c>
      <c r="B145" s="60" t="s">
        <v>123</v>
      </c>
      <c r="C145" s="61">
        <v>37400</v>
      </c>
      <c r="D145" s="60" t="s">
        <v>123</v>
      </c>
      <c r="E145" s="49" t="s">
        <v>28</v>
      </c>
      <c r="F145" s="25"/>
    </row>
    <row r="146" spans="1:6">
      <c r="A146" s="33">
        <v>46133</v>
      </c>
      <c r="B146" s="60" t="s">
        <v>96</v>
      </c>
      <c r="C146" s="58">
        <v>28884</v>
      </c>
      <c r="D146" s="60" t="s">
        <v>96</v>
      </c>
      <c r="E146" s="49" t="s">
        <v>28</v>
      </c>
      <c r="F146" s="25"/>
    </row>
    <row r="147" spans="1:6">
      <c r="A147" s="33">
        <v>46134</v>
      </c>
      <c r="B147" s="60" t="s">
        <v>112</v>
      </c>
      <c r="C147" s="61">
        <v>1700</v>
      </c>
      <c r="D147" s="60" t="s">
        <v>112</v>
      </c>
      <c r="E147" s="49" t="s">
        <v>28</v>
      </c>
      <c r="F147" s="25"/>
    </row>
    <row r="148" spans="1:6">
      <c r="A148" s="33">
        <v>46134</v>
      </c>
      <c r="B148" s="60" t="s">
        <v>96</v>
      </c>
      <c r="C148" s="61">
        <v>18030</v>
      </c>
      <c r="D148" s="60" t="s">
        <v>96</v>
      </c>
      <c r="E148" s="49" t="s">
        <v>28</v>
      </c>
      <c r="F148" s="25"/>
    </row>
    <row r="149" spans="1:6">
      <c r="A149" s="33">
        <v>46135</v>
      </c>
      <c r="B149" s="25" t="s">
        <v>51</v>
      </c>
      <c r="C149" s="59">
        <v>43710</v>
      </c>
      <c r="D149" s="25" t="s">
        <v>51</v>
      </c>
      <c r="E149" s="49" t="s">
        <v>28</v>
      </c>
      <c r="F149" s="25"/>
    </row>
    <row r="150" spans="1:6">
      <c r="A150" s="33">
        <v>46135</v>
      </c>
      <c r="B150" s="25" t="s">
        <v>124</v>
      </c>
      <c r="C150" s="59">
        <v>3</v>
      </c>
      <c r="D150" s="25" t="s">
        <v>124</v>
      </c>
      <c r="E150" s="49" t="s">
        <v>28</v>
      </c>
      <c r="F150" s="25"/>
    </row>
    <row r="151" spans="1:6">
      <c r="A151" s="33">
        <v>46138</v>
      </c>
      <c r="B151" s="60" t="s">
        <v>112</v>
      </c>
      <c r="C151" s="61">
        <v>1893</v>
      </c>
      <c r="D151" s="60" t="s">
        <v>112</v>
      </c>
      <c r="E151" s="49" t="s">
        <v>28</v>
      </c>
      <c r="F151" s="25"/>
    </row>
    <row r="152" spans="1:6">
      <c r="A152" s="33">
        <v>46138</v>
      </c>
      <c r="B152" s="60" t="s">
        <v>96</v>
      </c>
      <c r="C152" s="61">
        <v>20075</v>
      </c>
      <c r="D152" s="60" t="s">
        <v>96</v>
      </c>
      <c r="E152" s="49" t="s">
        <v>28</v>
      </c>
      <c r="F152" s="25"/>
    </row>
    <row r="153" spans="1:6">
      <c r="A153" s="33">
        <v>46138</v>
      </c>
      <c r="B153" s="25" t="s">
        <v>51</v>
      </c>
      <c r="C153" s="59">
        <v>43710</v>
      </c>
      <c r="D153" s="25" t="s">
        <v>51</v>
      </c>
      <c r="E153" s="49" t="s">
        <v>28</v>
      </c>
      <c r="F153" s="25"/>
    </row>
    <row r="154" spans="1:6">
      <c r="A154" s="33">
        <v>46141</v>
      </c>
      <c r="B154" s="60" t="s">
        <v>96</v>
      </c>
      <c r="C154" s="59">
        <v>28884</v>
      </c>
      <c r="D154" s="60" t="s">
        <v>96</v>
      </c>
      <c r="E154" s="49" t="s">
        <v>28</v>
      </c>
      <c r="F154" s="25"/>
    </row>
    <row r="155" spans="1:6">
      <c r="A155" s="33">
        <v>46142</v>
      </c>
      <c r="B155" s="60" t="s">
        <v>125</v>
      </c>
      <c r="C155" s="59">
        <v>17000</v>
      </c>
      <c r="D155" s="60" t="s">
        <v>125</v>
      </c>
      <c r="E155" s="49" t="s">
        <v>28</v>
      </c>
      <c r="F155" s="25"/>
    </row>
    <row r="156" spans="1:6">
      <c r="A156" s="33">
        <v>46144</v>
      </c>
      <c r="B156" s="25" t="s">
        <v>126</v>
      </c>
      <c r="C156" s="59">
        <v>320</v>
      </c>
      <c r="D156" s="25" t="s">
        <v>126</v>
      </c>
      <c r="E156" s="25" t="s">
        <v>25</v>
      </c>
      <c r="F156" s="25"/>
    </row>
    <row r="157" spans="1:6">
      <c r="A157" s="33">
        <v>46145</v>
      </c>
      <c r="B157" s="60" t="s">
        <v>96</v>
      </c>
      <c r="C157" s="61">
        <v>18325</v>
      </c>
      <c r="D157" s="60" t="s">
        <v>96</v>
      </c>
      <c r="E157" s="49" t="s">
        <v>28</v>
      </c>
      <c r="F157" s="25"/>
    </row>
    <row r="158" spans="1:6">
      <c r="A158" s="33">
        <v>46145</v>
      </c>
      <c r="B158" s="60" t="s">
        <v>112</v>
      </c>
      <c r="C158" s="61">
        <v>1665</v>
      </c>
      <c r="D158" s="60" t="s">
        <v>112</v>
      </c>
      <c r="E158" s="49" t="s">
        <v>28</v>
      </c>
      <c r="F158" s="25"/>
    </row>
    <row r="159" spans="1:6">
      <c r="A159" s="33">
        <v>46146</v>
      </c>
      <c r="B159" s="60" t="s">
        <v>55</v>
      </c>
      <c r="C159" s="61">
        <v>84240</v>
      </c>
      <c r="D159" s="60" t="s">
        <v>55</v>
      </c>
      <c r="E159" s="49" t="s">
        <v>28</v>
      </c>
      <c r="F159" s="25"/>
    </row>
    <row r="160" spans="1:6">
      <c r="A160" s="33">
        <v>46147</v>
      </c>
      <c r="B160" s="60" t="s">
        <v>94</v>
      </c>
      <c r="C160" s="61">
        <v>1000</v>
      </c>
      <c r="D160" s="60" t="s">
        <v>94</v>
      </c>
      <c r="E160" s="49" t="s">
        <v>28</v>
      </c>
      <c r="F160" s="25"/>
    </row>
    <row r="161" spans="1:6">
      <c r="A161" s="33">
        <v>46147</v>
      </c>
      <c r="B161" s="60" t="s">
        <v>127</v>
      </c>
      <c r="C161" s="61">
        <v>36285</v>
      </c>
      <c r="D161" s="60" t="s">
        <v>127</v>
      </c>
      <c r="E161" s="49" t="s">
        <v>28</v>
      </c>
      <c r="F161" s="25"/>
    </row>
    <row r="162" spans="1:6">
      <c r="A162" s="33">
        <v>46147</v>
      </c>
      <c r="B162" s="60" t="s">
        <v>39</v>
      </c>
      <c r="C162" s="61">
        <v>59368</v>
      </c>
      <c r="D162" s="60" t="s">
        <v>39</v>
      </c>
      <c r="E162" s="49" t="s">
        <v>28</v>
      </c>
      <c r="F162" s="25"/>
    </row>
    <row r="163" spans="1:6">
      <c r="A163" s="33">
        <v>46148</v>
      </c>
      <c r="B163" s="25" t="s">
        <v>128</v>
      </c>
      <c r="C163" s="25">
        <v>1388</v>
      </c>
      <c r="D163" s="25" t="s">
        <v>128</v>
      </c>
      <c r="E163" s="25" t="s">
        <v>25</v>
      </c>
      <c r="F163" s="25"/>
    </row>
    <row r="164" spans="1:6">
      <c r="A164" s="33">
        <v>46148</v>
      </c>
      <c r="B164" s="26" t="s">
        <v>129</v>
      </c>
      <c r="C164" s="25">
        <f>712*3</f>
        <v>2136</v>
      </c>
      <c r="D164" s="26" t="s">
        <v>129</v>
      </c>
      <c r="E164" s="49" t="s">
        <v>28</v>
      </c>
      <c r="F164" s="25"/>
    </row>
    <row r="165" spans="1:6">
      <c r="A165" s="33">
        <v>46148</v>
      </c>
      <c r="B165" s="25" t="s">
        <v>96</v>
      </c>
      <c r="C165" s="25">
        <v>28884</v>
      </c>
      <c r="D165" s="25" t="s">
        <v>96</v>
      </c>
      <c r="E165" s="49" t="s">
        <v>28</v>
      </c>
      <c r="F165" s="25"/>
    </row>
    <row r="166" spans="1:6">
      <c r="A166" s="33">
        <v>46151</v>
      </c>
      <c r="B166" s="25" t="s">
        <v>96</v>
      </c>
      <c r="C166" s="25">
        <v>17550</v>
      </c>
      <c r="D166" s="25" t="s">
        <v>96</v>
      </c>
      <c r="E166" s="49" t="s">
        <v>28</v>
      </c>
      <c r="F166" s="25"/>
    </row>
    <row r="167" spans="1:6">
      <c r="A167" s="33">
        <v>46152</v>
      </c>
      <c r="B167" s="25" t="s">
        <v>112</v>
      </c>
      <c r="C167" s="25">
        <v>1895</v>
      </c>
      <c r="D167" s="25" t="s">
        <v>112</v>
      </c>
      <c r="E167" s="49" t="s">
        <v>28</v>
      </c>
      <c r="F167" s="25"/>
    </row>
    <row r="168" spans="1:6">
      <c r="A168" s="33">
        <v>46152</v>
      </c>
      <c r="B168" s="25" t="s">
        <v>111</v>
      </c>
      <c r="C168" s="25">
        <v>1200</v>
      </c>
      <c r="D168" s="25" t="s">
        <v>111</v>
      </c>
      <c r="E168" s="49" t="s">
        <v>28</v>
      </c>
      <c r="F168" s="25"/>
    </row>
    <row r="169" spans="1:6">
      <c r="A169" s="33">
        <v>46155</v>
      </c>
      <c r="B169" s="25" t="s">
        <v>96</v>
      </c>
      <c r="C169" s="25">
        <v>28884</v>
      </c>
      <c r="D169" s="25" t="s">
        <v>96</v>
      </c>
      <c r="E169" s="49" t="s">
        <v>28</v>
      </c>
      <c r="F169" s="25"/>
    </row>
    <row r="170" spans="1:6">
      <c r="A170" s="33">
        <v>46155</v>
      </c>
      <c r="B170" s="25" t="s">
        <v>96</v>
      </c>
      <c r="C170" s="25">
        <v>19850</v>
      </c>
      <c r="D170" s="25" t="s">
        <v>96</v>
      </c>
      <c r="E170" s="49" t="s">
        <v>28</v>
      </c>
      <c r="F170" s="25"/>
    </row>
    <row r="171" spans="1:6">
      <c r="A171" s="33">
        <v>46155</v>
      </c>
      <c r="B171" s="25" t="s">
        <v>112</v>
      </c>
      <c r="C171" s="25">
        <v>1820</v>
      </c>
      <c r="D171" s="25" t="s">
        <v>112</v>
      </c>
      <c r="E171" s="49" t="s">
        <v>28</v>
      </c>
      <c r="F171" s="25"/>
    </row>
    <row r="172" spans="1:6">
      <c r="A172" s="33">
        <v>46156</v>
      </c>
      <c r="B172" s="25" t="s">
        <v>126</v>
      </c>
      <c r="C172" s="25">
        <v>320</v>
      </c>
      <c r="D172" s="25" t="s">
        <v>126</v>
      </c>
      <c r="E172" s="49" t="s">
        <v>28</v>
      </c>
      <c r="F172" s="25"/>
    </row>
    <row r="173" spans="1:6">
      <c r="A173" s="33">
        <v>46156</v>
      </c>
      <c r="B173" s="26" t="s">
        <v>33</v>
      </c>
      <c r="C173" s="25">
        <v>1575</v>
      </c>
      <c r="D173" s="26" t="s">
        <v>33</v>
      </c>
      <c r="E173" s="49" t="s">
        <v>28</v>
      </c>
      <c r="F173" s="25"/>
    </row>
    <row r="174" spans="1:6">
      <c r="A174" s="33">
        <v>46156</v>
      </c>
      <c r="B174" s="26" t="s">
        <v>33</v>
      </c>
      <c r="C174" s="25">
        <v>183675</v>
      </c>
      <c r="D174" s="26" t="s">
        <v>33</v>
      </c>
      <c r="E174" s="49" t="s">
        <v>28</v>
      </c>
      <c r="F174" s="25"/>
    </row>
    <row r="175" spans="1:6">
      <c r="A175" s="33">
        <v>46157</v>
      </c>
      <c r="B175" s="26" t="s">
        <v>33</v>
      </c>
      <c r="C175" s="25">
        <v>575</v>
      </c>
      <c r="D175" s="26" t="s">
        <v>33</v>
      </c>
      <c r="E175" s="49" t="s">
        <v>28</v>
      </c>
      <c r="F175" s="25"/>
    </row>
    <row r="176" spans="1:6">
      <c r="A176" s="33">
        <v>46157</v>
      </c>
      <c r="B176" s="26" t="s">
        <v>33</v>
      </c>
      <c r="C176" s="25">
        <v>183675</v>
      </c>
      <c r="D176" s="26" t="s">
        <v>33</v>
      </c>
      <c r="E176" s="49" t="s">
        <v>28</v>
      </c>
      <c r="F176" s="25"/>
    </row>
    <row r="177" spans="1:6">
      <c r="A177" s="33">
        <v>46160</v>
      </c>
      <c r="B177" s="25" t="s">
        <v>96</v>
      </c>
      <c r="C177" s="25">
        <v>28884</v>
      </c>
      <c r="D177" s="25" t="s">
        <v>96</v>
      </c>
      <c r="E177" s="49" t="s">
        <v>28</v>
      </c>
      <c r="F177" s="25"/>
    </row>
    <row r="178" spans="1:6">
      <c r="A178" s="33">
        <v>46161</v>
      </c>
      <c r="B178" s="25" t="s">
        <v>55</v>
      </c>
      <c r="C178" s="25">
        <v>83700</v>
      </c>
      <c r="D178" s="25" t="s">
        <v>55</v>
      </c>
      <c r="E178" s="49" t="s">
        <v>28</v>
      </c>
      <c r="F178" s="25"/>
    </row>
    <row r="179" spans="1:6">
      <c r="A179" s="33">
        <v>46162</v>
      </c>
      <c r="B179" s="25" t="s">
        <v>126</v>
      </c>
      <c r="C179" s="25">
        <v>320</v>
      </c>
      <c r="D179" s="25" t="s">
        <v>126</v>
      </c>
      <c r="E179" s="49" t="s">
        <v>28</v>
      </c>
      <c r="F179" s="25"/>
    </row>
    <row r="180" spans="1:6">
      <c r="A180" s="33">
        <v>46163</v>
      </c>
      <c r="B180" s="25" t="s">
        <v>96</v>
      </c>
      <c r="C180" s="25">
        <v>19050</v>
      </c>
      <c r="D180" s="25" t="s">
        <v>96</v>
      </c>
      <c r="E180" s="49" t="s">
        <v>28</v>
      </c>
      <c r="F180" s="25"/>
    </row>
    <row r="181" spans="1:6">
      <c r="A181" s="33">
        <v>46164</v>
      </c>
      <c r="B181" s="25" t="s">
        <v>112</v>
      </c>
      <c r="C181" s="25">
        <v>1675</v>
      </c>
      <c r="D181" s="25" t="s">
        <v>112</v>
      </c>
      <c r="E181" s="49" t="s">
        <v>28</v>
      </c>
      <c r="F181" s="25"/>
    </row>
    <row r="182" spans="1:6">
      <c r="A182" s="33">
        <v>46165</v>
      </c>
      <c r="B182" s="25" t="s">
        <v>96</v>
      </c>
      <c r="C182" s="25">
        <v>38225</v>
      </c>
      <c r="D182" s="25" t="s">
        <v>96</v>
      </c>
      <c r="E182" s="49" t="s">
        <v>28</v>
      </c>
      <c r="F182" s="25"/>
    </row>
    <row r="183" spans="1:6">
      <c r="A183" s="33">
        <v>46165</v>
      </c>
      <c r="B183" s="25" t="s">
        <v>96</v>
      </c>
      <c r="C183" s="25">
        <v>28884</v>
      </c>
      <c r="D183" s="25" t="s">
        <v>96</v>
      </c>
      <c r="E183" s="49" t="s">
        <v>28</v>
      </c>
      <c r="F183" s="25"/>
    </row>
    <row r="184" spans="1:6">
      <c r="A184" s="33">
        <v>46166</v>
      </c>
      <c r="B184" s="25" t="s">
        <v>112</v>
      </c>
      <c r="C184" s="25">
        <v>1870</v>
      </c>
      <c r="D184" s="25" t="s">
        <v>112</v>
      </c>
      <c r="E184" s="49" t="s">
        <v>28</v>
      </c>
      <c r="F184" s="25"/>
    </row>
    <row r="185" spans="1:6">
      <c r="A185" s="33">
        <v>46167</v>
      </c>
      <c r="B185" s="25" t="s">
        <v>112</v>
      </c>
      <c r="C185" s="25">
        <v>1895</v>
      </c>
      <c r="D185" s="25" t="s">
        <v>112</v>
      </c>
      <c r="E185" s="49" t="s">
        <v>28</v>
      </c>
      <c r="F185" s="25"/>
    </row>
    <row r="186" spans="1:6">
      <c r="A186" s="33">
        <v>46167</v>
      </c>
      <c r="B186" s="25" t="s">
        <v>111</v>
      </c>
      <c r="C186" s="25">
        <v>1500</v>
      </c>
      <c r="D186" s="25" t="s">
        <v>111</v>
      </c>
      <c r="E186" s="49" t="s">
        <v>28</v>
      </c>
      <c r="F186" s="25"/>
    </row>
    <row r="187" spans="1:6">
      <c r="A187" s="33">
        <v>46169</v>
      </c>
      <c r="B187" s="25" t="s">
        <v>96</v>
      </c>
      <c r="C187" s="25">
        <v>28884</v>
      </c>
      <c r="D187" s="25" t="s">
        <v>96</v>
      </c>
      <c r="E187" s="49" t="s">
        <v>28</v>
      </c>
      <c r="F187" s="25"/>
    </row>
    <row r="188" spans="1:6">
      <c r="A188" s="33">
        <v>46169</v>
      </c>
      <c r="B188" s="25" t="s">
        <v>108</v>
      </c>
      <c r="C188" s="25">
        <v>1000</v>
      </c>
      <c r="D188" s="25" t="s">
        <v>108</v>
      </c>
      <c r="E188" s="49" t="s">
        <v>28</v>
      </c>
      <c r="F188" s="25"/>
    </row>
    <row r="189" spans="1:6">
      <c r="A189" s="33">
        <v>46170</v>
      </c>
      <c r="B189" s="60" t="s">
        <v>96</v>
      </c>
      <c r="C189" s="28">
        <v>19870</v>
      </c>
      <c r="D189" s="60" t="s">
        <v>96</v>
      </c>
      <c r="E189" s="49" t="s">
        <v>28</v>
      </c>
      <c r="F189" s="25"/>
    </row>
    <row r="190" spans="1:6">
      <c r="A190" s="33">
        <v>46170</v>
      </c>
      <c r="B190" s="60" t="s">
        <v>112</v>
      </c>
      <c r="C190" s="28">
        <v>1900</v>
      </c>
      <c r="D190" s="60" t="s">
        <v>112</v>
      </c>
      <c r="E190" s="49" t="s">
        <v>28</v>
      </c>
      <c r="F190" s="25"/>
    </row>
    <row r="191" spans="1:6">
      <c r="A191" s="62"/>
      <c r="B191" s="25"/>
      <c r="C191" s="25"/>
      <c r="D191" s="26"/>
      <c r="E191" s="25"/>
      <c r="F191" s="25"/>
    </row>
    <row r="192" spans="1:6">
      <c r="A192" s="62"/>
      <c r="B192" s="25"/>
      <c r="C192" s="25"/>
      <c r="D192" s="26"/>
      <c r="E192" s="25"/>
      <c r="F192" s="25"/>
    </row>
    <row r="193" spans="1:6">
      <c r="A193" s="62"/>
      <c r="B193" s="25"/>
      <c r="C193" s="25"/>
      <c r="D193" s="26"/>
      <c r="E193" s="25"/>
      <c r="F193" s="25"/>
    </row>
    <row r="194" spans="1:6">
      <c r="A194" s="62"/>
      <c r="B194" s="25"/>
      <c r="C194" s="25"/>
      <c r="D194" s="26"/>
      <c r="E194" s="25"/>
      <c r="F194" s="25"/>
    </row>
    <row r="195" spans="1:6">
      <c r="A195" s="63"/>
      <c r="B195" s="25"/>
      <c r="C195" s="25"/>
      <c r="D195" s="25"/>
      <c r="E195" s="25"/>
      <c r="F195" s="25"/>
    </row>
    <row r="196" spans="1:6">
      <c r="A196" s="63"/>
      <c r="B196" s="25"/>
      <c r="C196" s="25"/>
      <c r="D196" s="25"/>
      <c r="E196" s="25"/>
      <c r="F196" s="25"/>
    </row>
    <row r="197" spans="1:6">
      <c r="A197" s="25"/>
      <c r="B197" s="25"/>
      <c r="C197" s="25"/>
      <c r="D197" s="25"/>
      <c r="E197" s="25"/>
      <c r="F197" s="25"/>
    </row>
    <row r="198" spans="1:6">
      <c r="A198" s="25"/>
      <c r="B198" s="25"/>
      <c r="C198" s="25"/>
      <c r="D198" s="25"/>
      <c r="E198" s="25"/>
      <c r="F198" s="25"/>
    </row>
    <row r="199" spans="1:6">
      <c r="A199" s="25"/>
      <c r="B199" s="25"/>
      <c r="C199" s="25"/>
      <c r="D199" s="25"/>
      <c r="E199" s="25"/>
      <c r="F199" s="25"/>
    </row>
    <row r="200" spans="1:6">
      <c r="A200" s="25"/>
      <c r="B200" s="25"/>
      <c r="C200" s="25"/>
      <c r="D200" s="25"/>
      <c r="E200" s="25"/>
      <c r="F200" s="25"/>
    </row>
  </sheetData>
  <sortState ref="A3:G67">
    <sortCondition ref="A2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tabSelected="1" zoomScale="145" zoomScaleNormal="145" workbookViewId="0">
      <selection activeCell="G13" sqref="G13"/>
    </sheetView>
  </sheetViews>
  <sheetFormatPr defaultColWidth="9" defaultRowHeight="13.5" outlineLevelCol="4"/>
  <cols>
    <col min="1" max="1" width="17.4" customWidth="1"/>
    <col min="2" max="2" width="25.5" customWidth="1"/>
    <col min="3" max="3" width="20.375" customWidth="1"/>
    <col min="4" max="4" width="27.375" customWidth="1"/>
    <col min="5" max="5" width="26.875" customWidth="1"/>
  </cols>
  <sheetData>
    <row r="1" spans="1:5">
      <c r="A1" s="16" t="s">
        <v>130</v>
      </c>
      <c r="B1" s="16" t="s">
        <v>18</v>
      </c>
      <c r="C1" s="16" t="s">
        <v>19</v>
      </c>
      <c r="D1" s="16" t="s">
        <v>20</v>
      </c>
      <c r="E1" s="16" t="s">
        <v>131</v>
      </c>
    </row>
    <row r="2" ht="16.5" spans="1:5">
      <c r="A2" s="17">
        <v>45994</v>
      </c>
      <c r="B2" s="18" t="s">
        <v>132</v>
      </c>
      <c r="C2" s="18">
        <v>1000</v>
      </c>
      <c r="D2" s="18" t="s">
        <v>133</v>
      </c>
      <c r="E2" s="18" t="s">
        <v>134</v>
      </c>
    </row>
    <row r="3" ht="16.5" spans="1:5">
      <c r="A3" s="17">
        <v>45994</v>
      </c>
      <c r="B3" s="18" t="s">
        <v>135</v>
      </c>
      <c r="C3" s="18">
        <v>300</v>
      </c>
      <c r="D3" s="18" t="s">
        <v>135</v>
      </c>
      <c r="E3" s="18" t="s">
        <v>136</v>
      </c>
    </row>
    <row r="4" s="15" customFormat="1" ht="16.5" spans="1:5">
      <c r="A4" s="19">
        <v>45995</v>
      </c>
      <c r="B4" s="18" t="s">
        <v>137</v>
      </c>
      <c r="C4" s="18">
        <v>35</v>
      </c>
      <c r="D4" s="18" t="s">
        <v>137</v>
      </c>
      <c r="E4" s="18" t="s">
        <v>136</v>
      </c>
    </row>
    <row r="5" s="15" customFormat="1" ht="16.5" spans="1:5">
      <c r="A5" s="19">
        <v>45996</v>
      </c>
      <c r="B5" s="18" t="s">
        <v>138</v>
      </c>
      <c r="C5" s="18">
        <v>180</v>
      </c>
      <c r="D5" s="18" t="s">
        <v>138</v>
      </c>
      <c r="E5" s="18" t="s">
        <v>136</v>
      </c>
    </row>
    <row r="6" s="15" customFormat="1" ht="16.5" spans="1:5">
      <c r="A6" s="19">
        <v>46001</v>
      </c>
      <c r="B6" s="18" t="s">
        <v>132</v>
      </c>
      <c r="C6" s="18">
        <v>1000</v>
      </c>
      <c r="D6" s="18" t="s">
        <v>139</v>
      </c>
      <c r="E6" s="18" t="s">
        <v>134</v>
      </c>
    </row>
    <row r="7" s="15" customFormat="1" ht="16.5" spans="1:5">
      <c r="A7" s="19">
        <v>46002</v>
      </c>
      <c r="B7" s="18" t="s">
        <v>140</v>
      </c>
      <c r="C7" s="18">
        <v>290</v>
      </c>
      <c r="D7" s="18" t="s">
        <v>140</v>
      </c>
      <c r="E7" s="18" t="s">
        <v>134</v>
      </c>
    </row>
    <row r="8" s="15" customFormat="1" ht="16.5" spans="1:5">
      <c r="A8" s="19">
        <v>46005</v>
      </c>
      <c r="B8" s="18" t="s">
        <v>141</v>
      </c>
      <c r="C8" s="18">
        <v>464</v>
      </c>
      <c r="D8" s="18" t="s">
        <v>142</v>
      </c>
      <c r="E8" s="18" t="s">
        <v>134</v>
      </c>
    </row>
    <row r="9" s="15" customFormat="1" ht="16.5" spans="1:5">
      <c r="A9" s="19">
        <v>46007</v>
      </c>
      <c r="B9" s="18" t="s">
        <v>143</v>
      </c>
      <c r="C9" s="18">
        <v>215</v>
      </c>
      <c r="D9" s="18" t="s">
        <v>143</v>
      </c>
      <c r="E9" s="18" t="s">
        <v>134</v>
      </c>
    </row>
    <row r="10" s="15" customFormat="1" ht="16.5" spans="1:5">
      <c r="A10" s="19">
        <v>46008</v>
      </c>
      <c r="B10" s="18" t="s">
        <v>144</v>
      </c>
      <c r="C10" s="18">
        <v>1000</v>
      </c>
      <c r="D10" s="18" t="s">
        <v>144</v>
      </c>
      <c r="E10" s="18" t="s">
        <v>134</v>
      </c>
    </row>
    <row r="11" s="15" customFormat="1" ht="16.5" spans="1:5">
      <c r="A11" s="19">
        <v>46008</v>
      </c>
      <c r="B11" s="18" t="s">
        <v>145</v>
      </c>
      <c r="C11" s="18">
        <v>1000</v>
      </c>
      <c r="D11" s="18" t="s">
        <v>146</v>
      </c>
      <c r="E11" s="18" t="s">
        <v>134</v>
      </c>
    </row>
    <row r="12" s="15" customFormat="1" ht="16.5" spans="1:5">
      <c r="A12" s="20">
        <v>46011</v>
      </c>
      <c r="B12" s="21" t="s">
        <v>147</v>
      </c>
      <c r="C12" s="22">
        <v>20</v>
      </c>
      <c r="D12" s="21" t="s">
        <v>147</v>
      </c>
      <c r="E12" s="18" t="s">
        <v>136</v>
      </c>
    </row>
    <row r="13" s="15" customFormat="1" ht="16.5" spans="1:5">
      <c r="A13" s="19">
        <v>46012</v>
      </c>
      <c r="B13" s="18" t="s">
        <v>148</v>
      </c>
      <c r="C13" s="18">
        <v>36772</v>
      </c>
      <c r="D13" s="18" t="s">
        <v>148</v>
      </c>
      <c r="E13" s="18" t="s">
        <v>149</v>
      </c>
    </row>
    <row r="14" s="15" customFormat="1" ht="16.5" spans="1:5">
      <c r="A14" s="19">
        <v>46012</v>
      </c>
      <c r="B14" s="18" t="s">
        <v>150</v>
      </c>
      <c r="C14" s="18">
        <v>1000</v>
      </c>
      <c r="D14" s="18" t="s">
        <v>151</v>
      </c>
      <c r="E14" s="18" t="s">
        <v>134</v>
      </c>
    </row>
    <row r="15" s="15" customFormat="1" ht="16.5" spans="1:5">
      <c r="A15" s="19">
        <v>46015</v>
      </c>
      <c r="B15" s="18" t="s">
        <v>152</v>
      </c>
      <c r="C15" s="18">
        <v>43475</v>
      </c>
      <c r="D15" s="18" t="s">
        <v>152</v>
      </c>
      <c r="E15" s="18" t="s">
        <v>149</v>
      </c>
    </row>
    <row r="16" s="15" customFormat="1" ht="16.5" spans="1:5">
      <c r="A16" s="19">
        <v>46017</v>
      </c>
      <c r="B16" s="18" t="s">
        <v>153</v>
      </c>
      <c r="C16" s="18">
        <v>1000</v>
      </c>
      <c r="D16" s="18" t="s">
        <v>154</v>
      </c>
      <c r="E16" s="18" t="s">
        <v>136</v>
      </c>
    </row>
    <row r="17" ht="16.5" spans="1:5">
      <c r="A17" s="19">
        <v>46017</v>
      </c>
      <c r="B17" s="19" t="s">
        <v>155</v>
      </c>
      <c r="C17" s="18">
        <v>397.6</v>
      </c>
      <c r="D17" s="19" t="s">
        <v>155</v>
      </c>
      <c r="E17" s="19" t="s">
        <v>149</v>
      </c>
    </row>
    <row r="18" s="15" customFormat="1" ht="16.5" spans="1:5">
      <c r="A18" s="19">
        <v>46018</v>
      </c>
      <c r="B18" s="18" t="s">
        <v>156</v>
      </c>
      <c r="C18" s="18">
        <v>128</v>
      </c>
      <c r="D18" s="18" t="s">
        <v>156</v>
      </c>
      <c r="E18" s="18" t="s">
        <v>134</v>
      </c>
    </row>
    <row r="19" s="15" customFormat="1" ht="16.5" spans="1:5">
      <c r="A19" s="19">
        <v>46020</v>
      </c>
      <c r="B19" s="18" t="s">
        <v>157</v>
      </c>
      <c r="C19" s="18">
        <f>14025-330</f>
        <v>13695</v>
      </c>
      <c r="D19" s="18" t="s">
        <v>157</v>
      </c>
      <c r="E19" s="18" t="s">
        <v>136</v>
      </c>
    </row>
    <row r="20" s="15" customFormat="1" ht="16.5" spans="1:5">
      <c r="A20" s="19">
        <v>46022</v>
      </c>
      <c r="B20" s="18" t="s">
        <v>158</v>
      </c>
      <c r="C20" s="18">
        <v>900</v>
      </c>
      <c r="D20" s="18" t="s">
        <v>158</v>
      </c>
      <c r="E20" s="18" t="s">
        <v>136</v>
      </c>
    </row>
    <row r="21" s="15" customFormat="1" ht="16.5" spans="1:5">
      <c r="A21" s="19">
        <v>46027</v>
      </c>
      <c r="B21" s="18" t="s">
        <v>159</v>
      </c>
      <c r="C21" s="18">
        <v>999</v>
      </c>
      <c r="D21" s="18" t="s">
        <v>159</v>
      </c>
      <c r="E21" s="18" t="s">
        <v>136</v>
      </c>
    </row>
    <row r="22" s="15" customFormat="1" ht="16.5" spans="1:5">
      <c r="A22" s="23">
        <v>46027</v>
      </c>
      <c r="B22" s="18" t="s">
        <v>160</v>
      </c>
      <c r="C22" s="18">
        <v>89376</v>
      </c>
      <c r="D22" s="18" t="s">
        <v>160</v>
      </c>
      <c r="E22" s="18" t="s">
        <v>161</v>
      </c>
    </row>
    <row r="23" s="15" customFormat="1" ht="16.5" spans="1:5">
      <c r="A23" s="23">
        <v>46027</v>
      </c>
      <c r="B23" s="18" t="s">
        <v>160</v>
      </c>
      <c r="C23" s="18">
        <v>70965</v>
      </c>
      <c r="D23" s="18" t="s">
        <v>160</v>
      </c>
      <c r="E23" s="18" t="s">
        <v>161</v>
      </c>
    </row>
    <row r="24" s="15" customFormat="1" ht="16.5" spans="1:5">
      <c r="A24" s="23">
        <v>46028</v>
      </c>
      <c r="B24" s="18" t="s">
        <v>162</v>
      </c>
      <c r="C24" s="18">
        <v>20000</v>
      </c>
      <c r="D24" s="18" t="s">
        <v>162</v>
      </c>
      <c r="E24" s="18" t="s">
        <v>161</v>
      </c>
    </row>
    <row r="25" s="15" customFormat="1" ht="16.5" spans="1:5">
      <c r="A25" s="23">
        <v>46028</v>
      </c>
      <c r="B25" s="18" t="s">
        <v>162</v>
      </c>
      <c r="C25" s="18">
        <v>107800</v>
      </c>
      <c r="D25" s="18" t="s">
        <v>162</v>
      </c>
      <c r="E25" s="18" t="s">
        <v>161</v>
      </c>
    </row>
    <row r="26" s="15" customFormat="1" ht="16.5" spans="1:5">
      <c r="A26" s="23">
        <v>46030</v>
      </c>
      <c r="B26" s="18" t="s">
        <v>163</v>
      </c>
      <c r="C26" s="18">
        <v>1188</v>
      </c>
      <c r="D26" s="18" t="s">
        <v>163</v>
      </c>
      <c r="E26" s="18" t="s">
        <v>134</v>
      </c>
    </row>
    <row r="27" s="15" customFormat="1" ht="16.5" spans="1:5">
      <c r="A27" s="23">
        <v>46032</v>
      </c>
      <c r="B27" s="18" t="s">
        <v>164</v>
      </c>
      <c r="C27" s="18">
        <v>300</v>
      </c>
      <c r="D27" s="18" t="s">
        <v>164</v>
      </c>
      <c r="E27" s="18" t="s">
        <v>134</v>
      </c>
    </row>
    <row r="28" s="15" customFormat="1" ht="16.5" spans="1:5">
      <c r="A28" s="23">
        <v>46034</v>
      </c>
      <c r="B28" s="18" t="s">
        <v>165</v>
      </c>
      <c r="C28" s="18">
        <v>1700</v>
      </c>
      <c r="D28" s="18" t="s">
        <v>165</v>
      </c>
      <c r="E28" s="18" t="s">
        <v>134</v>
      </c>
    </row>
    <row r="29" ht="16.5" spans="1:5">
      <c r="A29" s="24">
        <v>46035</v>
      </c>
      <c r="B29" s="25" t="s">
        <v>166</v>
      </c>
      <c r="C29" s="25">
        <v>5825</v>
      </c>
      <c r="D29" s="25" t="s">
        <v>166</v>
      </c>
      <c r="E29" s="26" t="s">
        <v>136</v>
      </c>
    </row>
    <row r="30" ht="16.5" spans="1:5">
      <c r="A30" s="24">
        <v>46035</v>
      </c>
      <c r="B30" s="25" t="s">
        <v>167</v>
      </c>
      <c r="C30" s="25">
        <v>496.5</v>
      </c>
      <c r="D30" s="25" t="s">
        <v>167</v>
      </c>
      <c r="E30" s="26" t="s">
        <v>136</v>
      </c>
    </row>
    <row r="31" ht="16.5" spans="1:5">
      <c r="A31" s="24">
        <v>46035</v>
      </c>
      <c r="B31" s="25" t="s">
        <v>168</v>
      </c>
      <c r="C31" s="25">
        <v>531.5</v>
      </c>
      <c r="D31" s="25" t="s">
        <v>168</v>
      </c>
      <c r="E31" s="25" t="s">
        <v>136</v>
      </c>
    </row>
    <row r="32" ht="16.5" spans="1:5">
      <c r="A32" s="24">
        <v>46036</v>
      </c>
      <c r="B32" s="25" t="s">
        <v>169</v>
      </c>
      <c r="C32" s="25">
        <v>5000</v>
      </c>
      <c r="D32" s="25" t="s">
        <v>169</v>
      </c>
      <c r="E32" s="25" t="s">
        <v>136</v>
      </c>
    </row>
    <row r="33" ht="16.5" spans="1:5">
      <c r="A33" s="24">
        <v>46036</v>
      </c>
      <c r="B33" s="25" t="s">
        <v>169</v>
      </c>
      <c r="C33" s="25">
        <v>1000</v>
      </c>
      <c r="D33" s="25" t="s">
        <v>169</v>
      </c>
      <c r="E33" s="25" t="s">
        <v>134</v>
      </c>
    </row>
    <row r="34" ht="16.5" spans="1:5">
      <c r="A34" s="24">
        <v>46037</v>
      </c>
      <c r="B34" s="25" t="s">
        <v>170</v>
      </c>
      <c r="C34" s="25">
        <v>372</v>
      </c>
      <c r="D34" s="25" t="s">
        <v>170</v>
      </c>
      <c r="E34" s="25" t="s">
        <v>136</v>
      </c>
    </row>
    <row r="35" ht="16.5" spans="1:5">
      <c r="A35" s="24">
        <v>46037</v>
      </c>
      <c r="B35" s="25" t="s">
        <v>171</v>
      </c>
      <c r="C35" s="25">
        <v>69</v>
      </c>
      <c r="D35" s="25" t="s">
        <v>171</v>
      </c>
      <c r="E35" s="25" t="s">
        <v>136</v>
      </c>
    </row>
    <row r="36" ht="16.5" spans="1:5">
      <c r="A36" s="24">
        <v>46037</v>
      </c>
      <c r="B36" s="25" t="s">
        <v>172</v>
      </c>
      <c r="C36" s="25">
        <f>188705</f>
        <v>188705</v>
      </c>
      <c r="D36" s="25" t="s">
        <v>172</v>
      </c>
      <c r="E36" s="25" t="s">
        <v>161</v>
      </c>
    </row>
    <row r="37" ht="16.5" spans="1:5">
      <c r="A37" s="24">
        <v>46042</v>
      </c>
      <c r="B37" t="s">
        <v>173</v>
      </c>
      <c r="C37" s="27">
        <v>244.76</v>
      </c>
      <c r="D37" t="s">
        <v>173</v>
      </c>
      <c r="E37" s="25" t="s">
        <v>161</v>
      </c>
    </row>
    <row r="38" ht="16.5" spans="1:5">
      <c r="A38" s="24">
        <v>46044</v>
      </c>
      <c r="B38" t="s">
        <v>174</v>
      </c>
      <c r="C38" s="28">
        <v>199.8</v>
      </c>
      <c r="D38" t="s">
        <v>174</v>
      </c>
      <c r="E38" s="25" t="s">
        <v>161</v>
      </c>
    </row>
    <row r="39" ht="16.5" spans="1:5">
      <c r="A39" s="24">
        <v>46045</v>
      </c>
      <c r="B39" t="s">
        <v>175</v>
      </c>
      <c r="C39" s="28">
        <v>15.98</v>
      </c>
      <c r="D39" t="s">
        <v>175</v>
      </c>
      <c r="E39" s="25" t="s">
        <v>161</v>
      </c>
    </row>
    <row r="40" ht="16.5" spans="1:5">
      <c r="A40" s="24">
        <v>46051</v>
      </c>
      <c r="B40" t="s">
        <v>169</v>
      </c>
      <c r="C40" s="28">
        <v>1000</v>
      </c>
      <c r="D40" t="s">
        <v>169</v>
      </c>
      <c r="E40" s="25" t="s">
        <v>161</v>
      </c>
    </row>
    <row r="41" ht="16.5" spans="1:5">
      <c r="A41" s="24">
        <v>46054</v>
      </c>
      <c r="B41" t="s">
        <v>176</v>
      </c>
      <c r="C41" s="28">
        <v>54.96</v>
      </c>
      <c r="D41" t="s">
        <v>176</v>
      </c>
      <c r="E41" s="25" t="s">
        <v>161</v>
      </c>
    </row>
    <row r="42" ht="16.5" spans="1:5">
      <c r="A42" s="24">
        <v>46056</v>
      </c>
      <c r="B42" t="s">
        <v>169</v>
      </c>
      <c r="C42" s="28">
        <v>2000</v>
      </c>
      <c r="D42" t="s">
        <v>169</v>
      </c>
      <c r="E42" s="25" t="s">
        <v>134</v>
      </c>
    </row>
    <row r="43" ht="16.5" spans="1:5">
      <c r="A43" s="24">
        <v>46059</v>
      </c>
      <c r="B43" t="s">
        <v>177</v>
      </c>
      <c r="C43" s="28">
        <v>288.71</v>
      </c>
      <c r="D43" t="s">
        <v>178</v>
      </c>
      <c r="E43" s="25" t="s">
        <v>161</v>
      </c>
    </row>
    <row r="44" ht="16.5" spans="1:5">
      <c r="A44" s="24">
        <v>46060</v>
      </c>
      <c r="B44" t="s">
        <v>169</v>
      </c>
      <c r="C44" s="28">
        <v>1000</v>
      </c>
      <c r="D44" t="s">
        <v>169</v>
      </c>
      <c r="E44" s="25" t="s">
        <v>161</v>
      </c>
    </row>
    <row r="45" ht="16.5" spans="1:5">
      <c r="A45" s="24">
        <v>46060</v>
      </c>
      <c r="B45" t="s">
        <v>179</v>
      </c>
      <c r="C45" s="28">
        <v>65562</v>
      </c>
      <c r="D45" t="s">
        <v>179</v>
      </c>
      <c r="E45" s="25" t="s">
        <v>161</v>
      </c>
    </row>
    <row r="46" ht="16.5" spans="1:5">
      <c r="A46" s="24">
        <v>46064</v>
      </c>
      <c r="B46" t="s">
        <v>180</v>
      </c>
      <c r="C46" s="28">
        <v>70.5</v>
      </c>
      <c r="D46" t="s">
        <v>180</v>
      </c>
      <c r="E46" s="25" t="s">
        <v>161</v>
      </c>
    </row>
    <row r="47" customFormat="1" ht="16.5" spans="1:5">
      <c r="A47" s="24">
        <v>46067</v>
      </c>
      <c r="B47" s="1" t="s">
        <v>181</v>
      </c>
      <c r="C47" s="28">
        <v>84</v>
      </c>
      <c r="D47" s="1" t="s">
        <v>181</v>
      </c>
      <c r="E47" s="25" t="s">
        <v>161</v>
      </c>
    </row>
    <row r="48" customFormat="1" ht="16.5" spans="1:5">
      <c r="A48" s="24">
        <v>46067</v>
      </c>
      <c r="B48" s="1" t="s">
        <v>147</v>
      </c>
      <c r="C48" s="28">
        <v>84</v>
      </c>
      <c r="D48" s="1" t="s">
        <v>147</v>
      </c>
      <c r="E48" s="25" t="s">
        <v>134</v>
      </c>
    </row>
    <row r="49" ht="16.5" spans="1:5">
      <c r="A49" s="24">
        <v>46078</v>
      </c>
      <c r="B49" t="s">
        <v>182</v>
      </c>
      <c r="C49" s="27">
        <v>725.88</v>
      </c>
      <c r="D49" t="s">
        <v>182</v>
      </c>
      <c r="E49" s="25" t="s">
        <v>161</v>
      </c>
    </row>
    <row r="50" ht="16.5" spans="1:5">
      <c r="A50" s="24">
        <v>46079</v>
      </c>
      <c r="B50" t="s">
        <v>169</v>
      </c>
      <c r="C50" s="28">
        <v>1000</v>
      </c>
      <c r="D50" t="s">
        <v>169</v>
      </c>
      <c r="E50" s="25" t="s">
        <v>161</v>
      </c>
    </row>
    <row r="51" ht="16.5" spans="1:5">
      <c r="A51" s="24">
        <v>46082</v>
      </c>
      <c r="B51" t="s">
        <v>176</v>
      </c>
      <c r="C51" s="27">
        <v>173.83</v>
      </c>
      <c r="D51" t="s">
        <v>176</v>
      </c>
      <c r="E51" s="25" t="s">
        <v>161</v>
      </c>
    </row>
    <row r="52" ht="16.5" spans="1:5">
      <c r="A52" s="24">
        <v>46084</v>
      </c>
      <c r="B52" t="s">
        <v>169</v>
      </c>
      <c r="C52" s="28">
        <v>1000</v>
      </c>
      <c r="D52" t="s">
        <v>169</v>
      </c>
      <c r="E52" s="25" t="s">
        <v>161</v>
      </c>
    </row>
    <row r="53" ht="16.5" spans="1:5">
      <c r="A53" s="23">
        <v>46088</v>
      </c>
      <c r="B53" s="15" t="s">
        <v>183</v>
      </c>
      <c r="C53" s="29">
        <v>264</v>
      </c>
      <c r="D53" s="15" t="s">
        <v>183</v>
      </c>
      <c r="E53" s="18" t="s">
        <v>134</v>
      </c>
    </row>
    <row r="54" ht="16.5" spans="1:5">
      <c r="A54" s="23">
        <v>46090</v>
      </c>
      <c r="B54" s="15" t="s">
        <v>141</v>
      </c>
      <c r="C54" s="29">
        <v>50</v>
      </c>
      <c r="D54" s="15" t="s">
        <v>141</v>
      </c>
      <c r="E54" s="18" t="s">
        <v>134</v>
      </c>
    </row>
    <row r="55" ht="16.5" spans="1:5">
      <c r="A55" s="23">
        <v>46090</v>
      </c>
      <c r="B55" s="15" t="s">
        <v>141</v>
      </c>
      <c r="C55" s="29">
        <v>300</v>
      </c>
      <c r="D55" s="15" t="s">
        <v>141</v>
      </c>
      <c r="E55" s="18" t="s">
        <v>134</v>
      </c>
    </row>
    <row r="56" ht="16.5" spans="1:5">
      <c r="A56" s="23">
        <v>46093</v>
      </c>
      <c r="B56" s="15" t="s">
        <v>184</v>
      </c>
      <c r="C56" s="29">
        <v>55.94</v>
      </c>
      <c r="D56" s="15" t="s">
        <v>184</v>
      </c>
      <c r="E56" s="18" t="s">
        <v>161</v>
      </c>
    </row>
    <row r="57" ht="16.5" spans="1:5">
      <c r="A57" s="23">
        <v>46100</v>
      </c>
      <c r="B57" s="15" t="s">
        <v>185</v>
      </c>
      <c r="C57" s="29">
        <v>200</v>
      </c>
      <c r="D57" s="15" t="s">
        <v>185</v>
      </c>
      <c r="E57" s="18" t="s">
        <v>161</v>
      </c>
    </row>
    <row r="58" ht="16.5" spans="1:5">
      <c r="A58" s="23">
        <v>46102</v>
      </c>
      <c r="B58" s="15" t="s">
        <v>186</v>
      </c>
      <c r="C58" s="29">
        <v>45.02</v>
      </c>
      <c r="D58" s="15" t="s">
        <v>186</v>
      </c>
      <c r="E58" s="18" t="s">
        <v>161</v>
      </c>
    </row>
    <row r="59" ht="16.5" spans="1:5">
      <c r="A59" s="23">
        <v>46103</v>
      </c>
      <c r="B59" s="15" t="s">
        <v>141</v>
      </c>
      <c r="C59" s="29">
        <v>25</v>
      </c>
      <c r="D59" s="15" t="s">
        <v>141</v>
      </c>
      <c r="E59" s="18" t="s">
        <v>134</v>
      </c>
    </row>
    <row r="60" ht="16.5" spans="1:5">
      <c r="A60" s="23">
        <v>46105</v>
      </c>
      <c r="B60" s="15" t="s">
        <v>187</v>
      </c>
      <c r="C60" s="29">
        <v>10720</v>
      </c>
      <c r="D60" s="15" t="s">
        <v>187</v>
      </c>
      <c r="E60" s="18" t="s">
        <v>161</v>
      </c>
    </row>
    <row r="61" ht="16.5" spans="1:5">
      <c r="A61" s="23">
        <v>46105</v>
      </c>
      <c r="B61" s="15" t="s">
        <v>188</v>
      </c>
      <c r="C61" s="29">
        <v>1000</v>
      </c>
      <c r="D61" s="15" t="s">
        <v>188</v>
      </c>
      <c r="E61" s="18" t="s">
        <v>189</v>
      </c>
    </row>
    <row r="62" ht="16.5" spans="1:5">
      <c r="A62" s="23">
        <v>46106</v>
      </c>
      <c r="B62" s="15" t="s">
        <v>190</v>
      </c>
      <c r="C62" s="29">
        <v>24.98</v>
      </c>
      <c r="D62" s="15" t="s">
        <v>190</v>
      </c>
      <c r="E62" s="18" t="s">
        <v>161</v>
      </c>
    </row>
    <row r="63" ht="16.5" spans="1:5">
      <c r="A63" s="23">
        <v>46114</v>
      </c>
      <c r="B63" s="30" t="s">
        <v>176</v>
      </c>
      <c r="C63" s="29">
        <v>147</v>
      </c>
      <c r="D63" s="30" t="s">
        <v>176</v>
      </c>
      <c r="E63" s="18" t="s">
        <v>161</v>
      </c>
    </row>
    <row r="64" ht="16.5" spans="1:5">
      <c r="A64" s="23">
        <v>46114</v>
      </c>
      <c r="B64" s="30" t="s">
        <v>176</v>
      </c>
      <c r="C64" s="29">
        <v>30.5</v>
      </c>
      <c r="D64" s="30" t="s">
        <v>176</v>
      </c>
      <c r="E64" s="18" t="s">
        <v>161</v>
      </c>
    </row>
    <row r="65" ht="16.5" spans="1:5">
      <c r="A65" s="23">
        <v>46114</v>
      </c>
      <c r="B65" s="15" t="s">
        <v>169</v>
      </c>
      <c r="C65" s="29">
        <v>1000</v>
      </c>
      <c r="D65" s="15" t="s">
        <v>169</v>
      </c>
      <c r="E65" s="18" t="s">
        <v>134</v>
      </c>
    </row>
    <row r="66" ht="16.5" spans="1:5">
      <c r="A66" s="23">
        <v>46115</v>
      </c>
      <c r="B66" s="15" t="s">
        <v>191</v>
      </c>
      <c r="C66" s="29">
        <v>300</v>
      </c>
      <c r="D66" s="15" t="s">
        <v>191</v>
      </c>
      <c r="E66" s="18" t="s">
        <v>134</v>
      </c>
    </row>
    <row r="67" ht="16.5" spans="1:5">
      <c r="A67" s="23">
        <v>46118</v>
      </c>
      <c r="B67" s="15" t="s">
        <v>192</v>
      </c>
      <c r="C67" s="29">
        <v>1678.32</v>
      </c>
      <c r="D67" s="15" t="s">
        <v>192</v>
      </c>
      <c r="E67" s="18" t="s">
        <v>161</v>
      </c>
    </row>
    <row r="68" ht="16.5" spans="1:5">
      <c r="A68" s="31">
        <v>46123</v>
      </c>
      <c r="B68" s="32" t="s">
        <v>193</v>
      </c>
      <c r="C68" s="29">
        <v>300</v>
      </c>
      <c r="D68" s="32" t="s">
        <v>193</v>
      </c>
      <c r="E68" s="26" t="s">
        <v>134</v>
      </c>
    </row>
    <row r="69" ht="16.5" spans="1:5">
      <c r="A69" s="31">
        <v>46123</v>
      </c>
      <c r="B69" t="s">
        <v>194</v>
      </c>
      <c r="C69" s="29">
        <v>35.96</v>
      </c>
      <c r="D69" t="s">
        <v>194</v>
      </c>
      <c r="E69" s="26" t="s">
        <v>161</v>
      </c>
    </row>
    <row r="70" ht="16.5" spans="1:5">
      <c r="A70" s="31">
        <v>46124</v>
      </c>
      <c r="B70" t="s">
        <v>195</v>
      </c>
      <c r="C70" s="29">
        <v>539.46</v>
      </c>
      <c r="D70" t="s">
        <v>195</v>
      </c>
      <c r="E70" s="26" t="s">
        <v>161</v>
      </c>
    </row>
    <row r="71" ht="16.5" spans="1:5">
      <c r="A71" s="31">
        <v>46124</v>
      </c>
      <c r="B71" t="s">
        <v>170</v>
      </c>
      <c r="C71" s="29">
        <v>384</v>
      </c>
      <c r="D71" t="s">
        <v>170</v>
      </c>
      <c r="E71" s="26" t="s">
        <v>134</v>
      </c>
    </row>
    <row r="72" ht="16.5" spans="1:5">
      <c r="A72" s="33">
        <v>46129</v>
      </c>
      <c r="B72" t="s">
        <v>196</v>
      </c>
      <c r="C72" s="29">
        <v>66</v>
      </c>
      <c r="D72" t="s">
        <v>196</v>
      </c>
      <c r="E72" s="26" t="s">
        <v>134</v>
      </c>
    </row>
    <row r="73" ht="16.5" spans="1:5">
      <c r="A73" s="33">
        <v>46131</v>
      </c>
      <c r="B73" t="s">
        <v>197</v>
      </c>
      <c r="C73" s="29">
        <v>120</v>
      </c>
      <c r="D73" t="s">
        <v>197</v>
      </c>
      <c r="E73" s="26" t="s">
        <v>134</v>
      </c>
    </row>
    <row r="74" ht="16.5" spans="1:5">
      <c r="A74" s="33">
        <v>46134</v>
      </c>
      <c r="B74" t="s">
        <v>198</v>
      </c>
      <c r="C74" s="34">
        <v>149.85</v>
      </c>
      <c r="D74" t="s">
        <v>198</v>
      </c>
      <c r="E74" s="26" t="s">
        <v>161</v>
      </c>
    </row>
    <row r="75" ht="16.5" spans="1:5">
      <c r="A75" s="33">
        <v>46136</v>
      </c>
      <c r="B75" t="s">
        <v>199</v>
      </c>
      <c r="C75" s="29">
        <v>120</v>
      </c>
      <c r="D75" t="s">
        <v>199</v>
      </c>
      <c r="E75" s="26" t="s">
        <v>134</v>
      </c>
    </row>
    <row r="76" ht="16.5" spans="1:5">
      <c r="A76" s="33">
        <v>46140</v>
      </c>
      <c r="B76" t="s">
        <v>199</v>
      </c>
      <c r="C76" s="29">
        <v>286</v>
      </c>
      <c r="D76" t="s">
        <v>199</v>
      </c>
      <c r="E76" s="26" t="s">
        <v>134</v>
      </c>
    </row>
    <row r="77" ht="16.5" spans="1:5">
      <c r="A77" s="33">
        <v>46140</v>
      </c>
      <c r="B77" t="s">
        <v>200</v>
      </c>
      <c r="C77" s="29">
        <v>2000</v>
      </c>
      <c r="D77" t="s">
        <v>200</v>
      </c>
      <c r="E77" s="26" t="s">
        <v>161</v>
      </c>
    </row>
    <row r="78" ht="16.5" spans="1:5">
      <c r="A78" s="33">
        <v>46140</v>
      </c>
      <c r="B78" t="s">
        <v>201</v>
      </c>
      <c r="C78" s="29">
        <v>29937</v>
      </c>
      <c r="D78" t="s">
        <v>201</v>
      </c>
      <c r="E78" s="26" t="s">
        <v>161</v>
      </c>
    </row>
    <row r="79" ht="16.5" spans="1:5">
      <c r="A79" s="33">
        <v>46143</v>
      </c>
      <c r="B79" t="s">
        <v>202</v>
      </c>
      <c r="C79" s="29">
        <v>18</v>
      </c>
      <c r="D79" t="s">
        <v>202</v>
      </c>
      <c r="E79" s="26" t="s">
        <v>161</v>
      </c>
    </row>
    <row r="80" ht="16.5" spans="1:5">
      <c r="A80" s="33">
        <v>46147</v>
      </c>
      <c r="B80" t="s">
        <v>199</v>
      </c>
      <c r="C80" s="29">
        <v>1800</v>
      </c>
      <c r="D80" t="s">
        <v>199</v>
      </c>
      <c r="E80" s="26" t="s">
        <v>161</v>
      </c>
    </row>
    <row r="81" ht="16.5" spans="1:5">
      <c r="A81" s="33">
        <v>46147</v>
      </c>
      <c r="B81" t="s">
        <v>203</v>
      </c>
      <c r="C81" s="29">
        <v>1680</v>
      </c>
      <c r="D81" t="s">
        <v>203</v>
      </c>
      <c r="E81" s="26" t="s">
        <v>134</v>
      </c>
    </row>
    <row r="82" ht="16.5" spans="1:5">
      <c r="A82" s="33">
        <v>46148</v>
      </c>
      <c r="B82" t="s">
        <v>202</v>
      </c>
      <c r="C82" s="28">
        <v>18</v>
      </c>
      <c r="D82" t="s">
        <v>202</v>
      </c>
      <c r="E82" s="26" t="s">
        <v>161</v>
      </c>
    </row>
    <row r="83" ht="16.5" spans="1:5">
      <c r="A83" s="33">
        <v>46148</v>
      </c>
      <c r="B83" t="s">
        <v>204</v>
      </c>
      <c r="C83" s="28">
        <v>144.5</v>
      </c>
      <c r="D83" t="s">
        <v>204</v>
      </c>
      <c r="E83" s="26" t="s">
        <v>161</v>
      </c>
    </row>
    <row r="84" ht="16.5" spans="1:5">
      <c r="A84" s="33">
        <v>46148</v>
      </c>
      <c r="B84" t="s">
        <v>205</v>
      </c>
      <c r="C84" s="28">
        <v>258</v>
      </c>
      <c r="D84" t="s">
        <v>205</v>
      </c>
      <c r="E84" s="26" t="s">
        <v>134</v>
      </c>
    </row>
    <row r="85" ht="16.5" spans="1:5">
      <c r="A85" s="33">
        <v>46152</v>
      </c>
      <c r="B85" t="s">
        <v>176</v>
      </c>
      <c r="C85" s="28">
        <v>54</v>
      </c>
      <c r="D85" t="s">
        <v>176</v>
      </c>
      <c r="E85" s="26" t="s">
        <v>161</v>
      </c>
    </row>
    <row r="86" ht="16.5" spans="1:5">
      <c r="A86" s="33">
        <v>46153</v>
      </c>
      <c r="B86" t="s">
        <v>195</v>
      </c>
      <c r="C86" s="28">
        <v>540</v>
      </c>
      <c r="D86" t="s">
        <v>195</v>
      </c>
      <c r="E86" s="26" t="s">
        <v>161</v>
      </c>
    </row>
    <row r="87" ht="16.5" spans="1:5">
      <c r="A87" s="33">
        <v>46158</v>
      </c>
      <c r="B87" t="s">
        <v>206</v>
      </c>
      <c r="C87" s="28">
        <v>105</v>
      </c>
      <c r="D87" t="s">
        <v>206</v>
      </c>
      <c r="E87" s="26" t="s">
        <v>134</v>
      </c>
    </row>
    <row r="88" ht="16.5" spans="1:5">
      <c r="A88" s="33">
        <v>46160</v>
      </c>
      <c r="B88" t="s">
        <v>206</v>
      </c>
      <c r="C88" s="28">
        <v>8695</v>
      </c>
      <c r="D88" t="s">
        <v>206</v>
      </c>
      <c r="E88" s="26" t="s">
        <v>161</v>
      </c>
    </row>
    <row r="89" ht="16.5" spans="1:5">
      <c r="A89" s="33">
        <v>46167</v>
      </c>
      <c r="B89" t="s">
        <v>176</v>
      </c>
      <c r="C89" s="28">
        <v>111</v>
      </c>
      <c r="D89" t="s">
        <v>176</v>
      </c>
      <c r="E89" s="26" t="s">
        <v>161</v>
      </c>
    </row>
  </sheetData>
  <sortState ref="A3:G37">
    <sortCondition ref="A3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H29" sqref="H29"/>
    </sheetView>
  </sheetViews>
  <sheetFormatPr defaultColWidth="9.23333333333333" defaultRowHeight="13.5" outlineLevelCol="5"/>
  <cols>
    <col min="1" max="1" width="11"/>
    <col min="2" max="2" width="19.8666666666667" customWidth="1"/>
    <col min="3" max="3" width="11.2333333333333"/>
    <col min="4" max="4" width="16.6666666666667" customWidth="1"/>
    <col min="6" max="6" width="21.1416666666667" customWidth="1"/>
  </cols>
  <sheetData>
    <row r="1" spans="1:6">
      <c r="A1" s="11" t="s">
        <v>0</v>
      </c>
      <c r="B1" s="11" t="s">
        <v>207</v>
      </c>
      <c r="C1" s="11" t="s">
        <v>19</v>
      </c>
      <c r="D1" s="11" t="s">
        <v>208</v>
      </c>
      <c r="E1" s="11" t="s">
        <v>209</v>
      </c>
      <c r="F1" s="11" t="s">
        <v>210</v>
      </c>
    </row>
    <row r="2" spans="1:6">
      <c r="A2" s="12">
        <v>45988</v>
      </c>
      <c r="B2" s="11" t="s">
        <v>211</v>
      </c>
      <c r="C2">
        <v>100000</v>
      </c>
      <c r="D2" s="11" t="s">
        <v>212</v>
      </c>
      <c r="E2" s="11"/>
      <c r="F2" s="11"/>
    </row>
    <row r="3" spans="1:6">
      <c r="A3" s="12">
        <v>45988</v>
      </c>
      <c r="B3" s="11" t="s">
        <v>213</v>
      </c>
      <c r="C3">
        <v>200000</v>
      </c>
      <c r="D3" s="11" t="s">
        <v>212</v>
      </c>
      <c r="E3" s="11"/>
      <c r="F3" s="11"/>
    </row>
    <row r="4" spans="1:6">
      <c r="A4" s="12">
        <v>46015</v>
      </c>
      <c r="B4" s="11" t="s">
        <v>211</v>
      </c>
      <c r="C4">
        <f>61515-52976-9-9</f>
        <v>8521</v>
      </c>
    </row>
    <row r="16" spans="1:6">
      <c r="A16" s="13" t="s">
        <v>17</v>
      </c>
      <c r="B16" s="13" t="s">
        <v>214</v>
      </c>
      <c r="C16" s="14">
        <f>C2+C4</f>
        <v>108521</v>
      </c>
    </row>
    <row r="17" spans="1:3">
      <c r="A17" s="13" t="s">
        <v>17</v>
      </c>
      <c r="B17" s="13" t="s">
        <v>215</v>
      </c>
      <c r="C17" s="14">
        <f>C7+C5+C4+C3</f>
        <v>208521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D13" sqref="D13"/>
    </sheetView>
  </sheetViews>
  <sheetFormatPr defaultColWidth="9.23333333333333" defaultRowHeight="13.5" outlineLevelRow="1"/>
  <sheetData>
    <row r="1" spans="1:1">
      <c r="A1" t="s">
        <v>216</v>
      </c>
    </row>
    <row r="2" spans="1:1">
      <c r="A2" t="s">
        <v>217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M22" sqref="M22"/>
    </sheetView>
  </sheetViews>
  <sheetFormatPr defaultColWidth="9.23333333333333" defaultRowHeight="13.5"/>
  <cols>
    <col min="1" max="1" width="9.23333333333333" style="1"/>
    <col min="2" max="2" width="23.0666666666667" style="1" customWidth="1"/>
    <col min="3" max="3" width="36.6916666666667" style="1" customWidth="1"/>
    <col min="4" max="4" width="25.475" style="1" customWidth="1"/>
    <col min="5" max="5" width="46.625" style="1" customWidth="1"/>
    <col min="6" max="12" width="9.23333333333333" style="1"/>
    <col min="13" max="13" width="44.7083333333333" style="1" customWidth="1"/>
    <col min="14" max="16384" width="9.23333333333333" style="1"/>
  </cols>
  <sheetData>
    <row r="1" spans="1:13">
      <c r="A1" s="2" t="s">
        <v>218</v>
      </c>
      <c r="B1" s="3" t="s">
        <v>219</v>
      </c>
      <c r="C1" s="3" t="s">
        <v>220</v>
      </c>
      <c r="D1" s="3" t="s">
        <v>221</v>
      </c>
      <c r="E1" s="4" t="s">
        <v>222</v>
      </c>
      <c r="F1" s="4" t="s">
        <v>223</v>
      </c>
      <c r="G1" s="4" t="s">
        <v>224</v>
      </c>
      <c r="H1" s="2" t="s">
        <v>225</v>
      </c>
      <c r="I1" s="5" t="s">
        <v>226</v>
      </c>
      <c r="J1" s="5"/>
      <c r="K1" s="5"/>
      <c r="L1" s="6" t="s">
        <v>227</v>
      </c>
      <c r="M1" s="7" t="s">
        <v>208</v>
      </c>
    </row>
    <row r="2" spans="1:13">
      <c r="A2" s="2"/>
      <c r="B2" s="3"/>
      <c r="C2" s="3"/>
      <c r="D2" s="3"/>
      <c r="E2" s="4"/>
      <c r="F2" s="4"/>
      <c r="G2" s="4"/>
      <c r="H2" s="2"/>
      <c r="I2" s="5" t="s">
        <v>228</v>
      </c>
      <c r="J2" s="2" t="s">
        <v>229</v>
      </c>
      <c r="K2" s="2" t="s">
        <v>230</v>
      </c>
      <c r="L2" s="6"/>
      <c r="M2" s="7"/>
    </row>
    <row r="3" ht="14.25" spans="1:13">
      <c r="A3" s="8"/>
      <c r="B3" s="8"/>
      <c r="C3" s="8"/>
      <c r="D3" s="9"/>
      <c r="E3" s="9"/>
      <c r="F3" s="8"/>
      <c r="G3" s="8"/>
      <c r="H3" s="8"/>
      <c r="I3" s="8"/>
      <c r="J3" s="8"/>
      <c r="K3" s="8"/>
      <c r="L3" s="6"/>
      <c r="M3" s="7"/>
    </row>
    <row r="4" ht="14.25" spans="1:13">
      <c r="A4" s="8"/>
      <c r="B4" s="8"/>
      <c r="C4" s="8"/>
      <c r="D4" s="9"/>
      <c r="E4" s="9"/>
      <c r="F4" s="8"/>
      <c r="G4" s="8"/>
      <c r="H4" s="8"/>
      <c r="I4" s="8"/>
      <c r="J4" s="8"/>
      <c r="K4" s="8"/>
      <c r="L4" s="6"/>
      <c r="M4" s="7"/>
    </row>
    <row r="5" ht="14.25" spans="1:13">
      <c r="A5" s="8"/>
      <c r="B5" s="8"/>
      <c r="C5" s="8"/>
      <c r="D5" s="9"/>
      <c r="E5" s="9"/>
      <c r="F5" s="8"/>
      <c r="G5" s="8"/>
      <c r="H5" s="8"/>
      <c r="I5" s="8"/>
      <c r="J5" s="8"/>
      <c r="K5" s="8"/>
      <c r="L5" s="6"/>
      <c r="M5" s="7"/>
    </row>
    <row r="6" ht="14.25" spans="1:13">
      <c r="A6" s="8"/>
      <c r="B6" s="8"/>
      <c r="C6" s="8"/>
      <c r="D6" s="9"/>
      <c r="E6" s="9"/>
      <c r="F6" s="8"/>
      <c r="G6" s="8"/>
      <c r="H6" s="8"/>
      <c r="I6" s="8"/>
      <c r="J6" s="8"/>
      <c r="K6" s="8"/>
      <c r="L6" s="6"/>
      <c r="M6" s="7"/>
    </row>
    <row r="7" ht="14.25" spans="1:13">
      <c r="A7" s="8"/>
      <c r="C7" s="8"/>
      <c r="D7" s="10"/>
      <c r="E7" s="10"/>
      <c r="F7" s="8"/>
      <c r="G7" s="8"/>
      <c r="H7" s="8"/>
      <c r="I7" s="8"/>
      <c r="J7" s="8"/>
      <c r="K7" s="8"/>
      <c r="L7" s="6"/>
      <c r="M7" s="7"/>
    </row>
    <row r="8" ht="14.25" spans="1:13">
      <c r="A8" s="8"/>
      <c r="B8" s="8"/>
      <c r="C8" s="8"/>
      <c r="D8" s="9"/>
      <c r="E8" s="9"/>
      <c r="F8" s="8"/>
      <c r="G8" s="8"/>
      <c r="H8" s="8"/>
      <c r="I8" s="8"/>
      <c r="J8" s="8"/>
      <c r="K8" s="8"/>
      <c r="L8" s="6"/>
      <c r="M8" s="7"/>
    </row>
    <row r="9" ht="14.25" spans="1:13">
      <c r="A9" s="8"/>
      <c r="B9" s="8"/>
      <c r="C9" s="8"/>
      <c r="D9" s="10"/>
      <c r="E9" s="10"/>
      <c r="F9" s="8"/>
      <c r="G9" s="8"/>
      <c r="H9" s="8"/>
      <c r="I9" s="8"/>
      <c r="J9" s="8"/>
      <c r="K9" s="8"/>
      <c r="L9" s="6"/>
      <c r="M9" s="7"/>
    </row>
  </sheetData>
  <mergeCells count="13">
    <mergeCell ref="I1:K1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L3:L9"/>
    <mergeCell ref="M1:M2"/>
    <mergeCell ref="M3:M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1" workbookViewId="0">
      <selection activeCell="W11" sqref="W1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银行卡</vt:lpstr>
      <vt:lpstr>挂帐</vt:lpstr>
      <vt:lpstr>内部收款</vt:lpstr>
      <vt:lpstr>投资款</vt:lpstr>
      <vt:lpstr>账号密码</vt:lpstr>
      <vt:lpstr>商品池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李武方</dc:creator>
  <cp:lastModifiedBy>许小白</cp:lastModifiedBy>
  <dcterms:created xsi:type="dcterms:W3CDTF">2025-03-23T09:27:00Z</dcterms:created>
  <dcterms:modified xsi:type="dcterms:W3CDTF">2026-05-29T15:49:07Z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3D194433DCA54F3793479071635A394F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